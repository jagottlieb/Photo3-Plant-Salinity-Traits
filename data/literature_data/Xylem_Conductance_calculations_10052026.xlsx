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e73ff6e8b2309b/Documents/SourceCode/Photo3-Plant-Salinity-Traits/data/literature_data/"/>
    </mc:Choice>
  </mc:AlternateContent>
  <xr:revisionPtr revIDLastSave="0" documentId="8_{12A8393D-727F-4486-82B6-4F98FCD75622}" xr6:coauthVersionLast="47" xr6:coauthVersionMax="47" xr10:uidLastSave="{00000000-0000-0000-0000-000000000000}"/>
  <bookViews>
    <workbookView xWindow="-98" yWindow="-98" windowWidth="21795" windowHeight="12975" xr2:uid="{42DB47A6-598F-491D-9EEE-C7B52007E9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G3" i="1"/>
  <c r="F3" i="1"/>
</calcChain>
</file>

<file path=xl/sharedStrings.xml><?xml version="1.0" encoding="utf-8"?>
<sst xmlns="http://schemas.openxmlformats.org/spreadsheetml/2006/main" count="17" uniqueCount="16">
  <si>
    <t>Stem_Specific_Conductivity (kg m−1 s−1 MPa−1)</t>
  </si>
  <si>
    <t>Parameter</t>
  </si>
  <si>
    <t>Source</t>
  </si>
  <si>
    <t>Value</t>
  </si>
  <si>
    <t>Average Stem Area (cm^2)</t>
  </si>
  <si>
    <t>LV et al, 2025 for Ring Porous Tree Species. Used plot ditizer</t>
  </si>
  <si>
    <t>Average from Single Trees</t>
  </si>
  <si>
    <t>Average from Single Trees, Diameter = 1 cm</t>
  </si>
  <si>
    <t>Average Leaf Area (cm/2)</t>
  </si>
  <si>
    <t>Average Tree Height (m)</t>
  </si>
  <si>
    <t>Stem_Specific_Conductance (m/s*Mpa)</t>
  </si>
  <si>
    <t>Stem_Specific_Conductance (kg m−1 s−1 MPa−1)</t>
  </si>
  <si>
    <t>Scaled based on lab tree area</t>
  </si>
  <si>
    <t>Converted using density of water</t>
  </si>
  <si>
    <t>Leaf_Specific_Conductance (um/s*Mpa)</t>
  </si>
  <si>
    <t>Converted using the stem-to-leaf area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</si>
</sst>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A0DD-C4DF-4A23-8969-D50C5580FACE}">
  <dimension ref="A1:H3"/>
  <sheetViews>
    <sheetView tabSelected="1" topLeftCell="C1" workbookViewId="0">
      <selection activeCell="H3" sqref="H3"/>
    </sheetView>
  </sheetViews>
  <sheetFormatPr defaultRowHeight="14.25" x14ac:dyDescent="0.45"/>
  <cols>
    <col min="2" max="3" width="46.6640625" customWidth="1"/>
    <col min="4" max="4" width="37.9296875" customWidth="1"/>
    <col min="5" max="5" width="21.46484375" customWidth="1"/>
    <col min="6" max="6" width="39.59765625" bestFit="1" customWidth="1"/>
    <col min="7" max="7" width="32.33203125" bestFit="1" customWidth="1"/>
    <col min="8" max="8" width="12.265625" bestFit="1" customWidth="1"/>
  </cols>
  <sheetData>
    <row r="1" spans="1:8" x14ac:dyDescent="0.45">
      <c r="A1" t="s">
        <v>1</v>
      </c>
      <c r="B1" t="s">
        <v>0</v>
      </c>
      <c r="C1" t="s">
        <v>8</v>
      </c>
      <c r="D1" t="s">
        <v>4</v>
      </c>
      <c r="E1" t="s">
        <v>9</v>
      </c>
      <c r="F1" t="s">
        <v>11</v>
      </c>
      <c r="G1" t="s">
        <v>10</v>
      </c>
      <c r="H1" t="s">
        <v>14</v>
      </c>
    </row>
    <row r="2" spans="1:8" x14ac:dyDescent="0.45">
      <c r="A2" t="s">
        <v>2</v>
      </c>
      <c r="B2" t="s">
        <v>5</v>
      </c>
      <c r="C2" t="s">
        <v>6</v>
      </c>
      <c r="D2" t="s">
        <v>7</v>
      </c>
      <c r="E2" t="s">
        <v>6</v>
      </c>
      <c r="F2" t="s">
        <v>12</v>
      </c>
      <c r="G2" t="s">
        <v>13</v>
      </c>
      <c r="H2" t="s">
        <v>15</v>
      </c>
    </row>
    <row r="3" spans="1:8" x14ac:dyDescent="0.45">
      <c r="A3" t="s">
        <v>3</v>
      </c>
      <c r="B3">
        <v>1.1499999999999999</v>
      </c>
      <c r="C3">
        <v>3600</v>
      </c>
      <c r="D3">
        <v>0.78500000000000003</v>
      </c>
      <c r="E3">
        <v>1.5</v>
      </c>
      <c r="F3" s="1">
        <f>B3/E3</f>
        <v>0.76666666666666661</v>
      </c>
      <c r="G3" s="1">
        <f>F3/1000</f>
        <v>7.6666666666666658E-4</v>
      </c>
      <c r="H3" s="2">
        <f>G3*(D3/C3)*1000000</f>
        <v>0.16717592592592592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Gottlieb</dc:creator>
  <cp:lastModifiedBy>Josh Gottlieb</cp:lastModifiedBy>
  <dcterms:created xsi:type="dcterms:W3CDTF">2026-10-05T20:56:39Z</dcterms:created>
  <dcterms:modified xsi:type="dcterms:W3CDTF">2026-10-05T22:29:00Z</dcterms:modified>
</cp:coreProperties>
</file>