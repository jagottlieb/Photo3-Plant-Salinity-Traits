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eosyntec-my.sharepoint.com/personal/josh_gottlieb_geosyntec_com/Documents/Documents/SourceCode/Photo3-Plant-Salinity-Traits/literature_data/"/>
    </mc:Choice>
  </mc:AlternateContent>
  <xr:revisionPtr revIDLastSave="69" documentId="8_{BB97B5F1-DAF5-4B7C-9A6A-B04A175A05C0}" xr6:coauthVersionLast="47" xr6:coauthVersionMax="47" xr10:uidLastSave="{E57CE094-7619-4A2C-8985-1138B8A8268A}"/>
  <bookViews>
    <workbookView xWindow="-120" yWindow="-120" windowWidth="29040" windowHeight="15720" firstSheet="1" activeTab="2" xr2:uid="{C0AAE20D-2553-4379-8EED-88D25BB078BE}"/>
  </bookViews>
  <sheets>
    <sheet name="Sanchez-Ledema Data" sheetId="1" r:id="rId1"/>
    <sheet name="Campos-Villareal Data" sheetId="3" r:id="rId2"/>
    <sheet name="Photosynthetic Rate Reduct Plot" sheetId="2" r:id="rId3"/>
    <sheet name="Stomatal Conductance Reduc Plo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3" l="1"/>
  <c r="B13" i="3"/>
  <c r="B14" i="3"/>
  <c r="B11" i="3"/>
  <c r="B4" i="3"/>
  <c r="B5" i="3"/>
  <c r="B6" i="3"/>
  <c r="B3" i="3"/>
</calcChain>
</file>

<file path=xl/sharedStrings.xml><?xml version="1.0" encoding="utf-8"?>
<sst xmlns="http://schemas.openxmlformats.org/spreadsheetml/2006/main" count="22" uniqueCount="16">
  <si>
    <t>Control without inoculum</t>
  </si>
  <si>
    <t>Photosynthesis_uM_m-2_s-1</t>
  </si>
  <si>
    <t>Std_Err_Photosynthesis</t>
  </si>
  <si>
    <t>Inoculum with Scleroderma</t>
  </si>
  <si>
    <t>Stomatal_conductance_M_m-2_s-1</t>
  </si>
  <si>
    <t>Std_Err_Stomatal_Conductance</t>
  </si>
  <si>
    <t>Transpiration_mM_m-2_s-1</t>
  </si>
  <si>
    <t>Std_Err_Transpiration</t>
  </si>
  <si>
    <t>Salinity (dS·m⁻¹)</t>
  </si>
  <si>
    <t>Apache</t>
  </si>
  <si>
    <t>Riverside</t>
  </si>
  <si>
    <t>SVA1</t>
  </si>
  <si>
    <t>SVA2</t>
  </si>
  <si>
    <t>Salinity(mMol) (Approximate)</t>
  </si>
  <si>
    <t>Stomatal Conductance (mol H2O/m2/s</t>
  </si>
  <si>
    <t>Photosynthesis (umol CO2/m2/s)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</si>
</sst>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1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chartsheet" Target="chartsheets/sheet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hartsheet" Target="chartsheets/sheet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8280768721181425E-2"/>
          <c:y val="7.4490740740740746E-2"/>
          <c:w val="0.8585149634768745"/>
          <c:h val="0.79728687884317884"/>
        </c:manualLayout>
      </c:layout>
      <c:scatterChart>
        <c:scatterStyle val="lineMarker"/>
        <c:varyColors val="0"/>
        <c:ser>
          <c:idx val="0"/>
          <c:order val="0"/>
          <c:tx>
            <c:v>Unpecified Cultivar (Treated with microrhiza)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9.5653153818465481E-2"/>
                  <c:y val="0.27975721784776902"/>
                </c:manualLayout>
              </c:layout>
              <c:numFmt formatCode="General" sourceLinked="0"/>
              <c:spPr>
                <a:solidFill>
                  <a:schemeClr val="bg1"/>
                </a:solidFill>
                <a:ln w="3175">
                  <a:solidFill>
                    <a:schemeClr val="tx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noFill/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'Sanchez-Ledema Data'!$C$4:$C$8</c:f>
                <c:numCache>
                  <c:formatCode>General</c:formatCode>
                  <c:ptCount val="5"/>
                  <c:pt idx="0">
                    <c:v>0.56999999999999995</c:v>
                  </c:pt>
                  <c:pt idx="1">
                    <c:v>0.18</c:v>
                  </c:pt>
                  <c:pt idx="2">
                    <c:v>0.08</c:v>
                  </c:pt>
                  <c:pt idx="3">
                    <c:v>0.3</c:v>
                  </c:pt>
                  <c:pt idx="4">
                    <c:v>0.63</c:v>
                  </c:pt>
                </c:numCache>
              </c:numRef>
            </c:plus>
            <c:minus>
              <c:numRef>
                <c:f>'Sanchez-Ledema Data'!$C$4:$C$8</c:f>
                <c:numCache>
                  <c:formatCode>General</c:formatCode>
                  <c:ptCount val="5"/>
                  <c:pt idx="0">
                    <c:v>0.56999999999999995</c:v>
                  </c:pt>
                  <c:pt idx="1">
                    <c:v>0.18</c:v>
                  </c:pt>
                  <c:pt idx="2">
                    <c:v>0.08</c:v>
                  </c:pt>
                  <c:pt idx="3">
                    <c:v>0.3</c:v>
                  </c:pt>
                  <c:pt idx="4">
                    <c:v>0.63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'Sanchez-Ledema Data'!$A$4:$A$8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25</c:v>
                </c:pt>
                <c:pt idx="3">
                  <c:v>30</c:v>
                </c:pt>
                <c:pt idx="4">
                  <c:v>35</c:v>
                </c:pt>
              </c:numCache>
            </c:numRef>
          </c:xVal>
          <c:yVal>
            <c:numRef>
              <c:f>'Sanchez-Ledema Data'!$B$4:$B$8</c:f>
              <c:numCache>
                <c:formatCode>General</c:formatCode>
                <c:ptCount val="5"/>
                <c:pt idx="0">
                  <c:v>7</c:v>
                </c:pt>
                <c:pt idx="1">
                  <c:v>6</c:v>
                </c:pt>
                <c:pt idx="2">
                  <c:v>5.0999999999999996</c:v>
                </c:pt>
                <c:pt idx="3">
                  <c:v>4.8</c:v>
                </c:pt>
                <c:pt idx="4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A39-4AA1-8FE1-F62C1FB0C248}"/>
            </c:ext>
          </c:extLst>
        </c:ser>
        <c:ser>
          <c:idx val="1"/>
          <c:order val="1"/>
          <c:tx>
            <c:v>Apache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'Campos-Villareal Data'!$B$3:$B$6</c:f>
              <c:numCache>
                <c:formatCode>General</c:formatCode>
                <c:ptCount val="4"/>
                <c:pt idx="0">
                  <c:v>0.8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</c:numCache>
            </c:numRef>
          </c:xVal>
          <c:yVal>
            <c:numRef>
              <c:f>'Campos-Villareal Data'!$C$11:$C$14</c:f>
              <c:numCache>
                <c:formatCode>General</c:formatCode>
                <c:ptCount val="4"/>
                <c:pt idx="0">
                  <c:v>5.2</c:v>
                </c:pt>
                <c:pt idx="1">
                  <c:v>3.7</c:v>
                </c:pt>
                <c:pt idx="2">
                  <c:v>2.6</c:v>
                </c:pt>
                <c:pt idx="3">
                  <c:v>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098-46D4-A30B-1BCDDD6F9ADC}"/>
            </c:ext>
          </c:extLst>
        </c:ser>
        <c:ser>
          <c:idx val="2"/>
          <c:order val="2"/>
          <c:tx>
            <c:v>Riverside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'Campos-Villareal Data'!$B$11:$B$14</c:f>
              <c:numCache>
                <c:formatCode>General</c:formatCode>
                <c:ptCount val="4"/>
                <c:pt idx="0">
                  <c:v>0.8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</c:numCache>
            </c:numRef>
          </c:xVal>
          <c:yVal>
            <c:numRef>
              <c:f>'Campos-Villareal Data'!$D$11:$D$14</c:f>
              <c:numCache>
                <c:formatCode>General</c:formatCode>
                <c:ptCount val="4"/>
                <c:pt idx="0">
                  <c:v>5.3</c:v>
                </c:pt>
                <c:pt idx="1">
                  <c:v>4.3</c:v>
                </c:pt>
                <c:pt idx="2">
                  <c:v>3.7</c:v>
                </c:pt>
                <c:pt idx="3">
                  <c:v>3.7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098-46D4-A30B-1BCDDD6F9ADC}"/>
            </c:ext>
          </c:extLst>
        </c:ser>
        <c:ser>
          <c:idx val="3"/>
          <c:order val="3"/>
          <c:tx>
            <c:v>SVA1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'Campos-Villareal Data'!$B$11:$B$14</c:f>
              <c:numCache>
                <c:formatCode>General</c:formatCode>
                <c:ptCount val="4"/>
                <c:pt idx="0">
                  <c:v>0.8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</c:numCache>
            </c:numRef>
          </c:xVal>
          <c:yVal>
            <c:numRef>
              <c:f>'Campos-Villareal Data'!$E$11:$E$14</c:f>
              <c:numCache>
                <c:formatCode>General</c:formatCode>
                <c:ptCount val="4"/>
                <c:pt idx="0">
                  <c:v>5.2</c:v>
                </c:pt>
                <c:pt idx="1">
                  <c:v>4.7</c:v>
                </c:pt>
                <c:pt idx="2">
                  <c:v>3.9</c:v>
                </c:pt>
                <c:pt idx="3">
                  <c:v>2.9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098-46D4-A30B-1BCDDD6F9ADC}"/>
            </c:ext>
          </c:extLst>
        </c:ser>
        <c:ser>
          <c:idx val="4"/>
          <c:order val="4"/>
          <c:tx>
            <c:v>SVA2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'Campos-Villareal Data'!$B$11:$B$14</c:f>
              <c:numCache>
                <c:formatCode>General</c:formatCode>
                <c:ptCount val="4"/>
                <c:pt idx="0">
                  <c:v>0.8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</c:numCache>
            </c:numRef>
          </c:xVal>
          <c:yVal>
            <c:numRef>
              <c:f>'Campos-Villareal Data'!$F$11:$F$14</c:f>
              <c:numCache>
                <c:formatCode>General</c:formatCode>
                <c:ptCount val="4"/>
                <c:pt idx="0">
                  <c:v>4.3</c:v>
                </c:pt>
                <c:pt idx="1">
                  <c:v>4</c:v>
                </c:pt>
                <c:pt idx="2">
                  <c:v>2.7</c:v>
                </c:pt>
                <c:pt idx="3">
                  <c:v>2.6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098-46D4-A30B-1BCDDD6F9A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1268128"/>
        <c:axId val="971277248"/>
      </c:scatterChart>
      <c:valAx>
        <c:axId val="971268128"/>
        <c:scaling>
          <c:orientation val="minMax"/>
          <c:max val="4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NaCl (mol</a:t>
                </a:r>
                <a:r>
                  <a:rPr lang="en-US" baseline="0"/>
                  <a:t> </a:t>
                </a:r>
                <a:r>
                  <a:rPr lang="en-US"/>
                  <a:t>m</a:t>
                </a:r>
                <a:r>
                  <a:rPr lang="en-US" baseline="30000"/>
                  <a:t>-3</a:t>
                </a:r>
                <a:r>
                  <a:rPr lang="en-US" baseline="0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277248"/>
        <c:crosses val="autoZero"/>
        <c:crossBetween val="midCat"/>
      </c:valAx>
      <c:valAx>
        <c:axId val="97127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Photosynthetic Rate (µmol m</a:t>
                </a:r>
                <a:r>
                  <a:rPr lang="en-US" baseline="30000"/>
                  <a:t>-2</a:t>
                </a:r>
                <a:r>
                  <a:rPr lang="en-US" baseline="0"/>
                  <a:t> s</a:t>
                </a:r>
                <a:r>
                  <a:rPr lang="en-US" baseline="30000"/>
                  <a:t>-1</a:t>
                </a:r>
                <a:r>
                  <a:rPr lang="en-US" baseline="0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2681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5"/>
        <c:delete val="1"/>
      </c:legendEntry>
      <c:legendEntry>
        <c:idx val="6"/>
        <c:delete val="1"/>
      </c:legendEntry>
      <c:layout>
        <c:manualLayout>
          <c:xMode val="edge"/>
          <c:yMode val="edge"/>
          <c:x val="0.11829761756797663"/>
          <c:y val="0.53736276248825976"/>
          <c:w val="0.3250491822424379"/>
          <c:h val="0.30673806404581538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8280768721181425E-2"/>
          <c:y val="7.4490740740740746E-2"/>
          <c:w val="0.8585149634768745"/>
          <c:h val="0.79728687884317884"/>
        </c:manualLayout>
      </c:layout>
      <c:scatterChart>
        <c:scatterStyle val="lineMarker"/>
        <c:varyColors val="0"/>
        <c:ser>
          <c:idx val="0"/>
          <c:order val="0"/>
          <c:tx>
            <c:v>Unpecified Cultivar (Treated with microrhiza)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noFill/>
                <a:round/>
              </a:ln>
              <a:effectLst/>
            </c:spPr>
          </c:errBars>
          <c:xVal>
            <c:numRef>
              <c:f>'Sanchez-Ledema Data'!$A$4:$A$8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25</c:v>
                </c:pt>
                <c:pt idx="3">
                  <c:v>30</c:v>
                </c:pt>
                <c:pt idx="4">
                  <c:v>35</c:v>
                </c:pt>
              </c:numCache>
            </c:numRef>
          </c:xVal>
          <c:yVal>
            <c:numRef>
              <c:f>'Sanchez-Ledema Data'!$D$4:$D$8</c:f>
              <c:numCache>
                <c:formatCode>General</c:formatCode>
                <c:ptCount val="5"/>
                <c:pt idx="0">
                  <c:v>0.08</c:v>
                </c:pt>
                <c:pt idx="1">
                  <c:v>0.08</c:v>
                </c:pt>
                <c:pt idx="2">
                  <c:v>7.0000000000000007E-2</c:v>
                </c:pt>
                <c:pt idx="3">
                  <c:v>0.05</c:v>
                </c:pt>
                <c:pt idx="4">
                  <c:v>0.05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975-4095-9B93-C27C23727ED3}"/>
            </c:ext>
          </c:extLst>
        </c:ser>
        <c:ser>
          <c:idx val="1"/>
          <c:order val="1"/>
          <c:tx>
            <c:v>Apache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'Campos-Villareal Data'!$B$3:$B$6</c:f>
              <c:numCache>
                <c:formatCode>General</c:formatCode>
                <c:ptCount val="4"/>
                <c:pt idx="0">
                  <c:v>0.8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</c:numCache>
            </c:numRef>
          </c:xVal>
          <c:yVal>
            <c:numRef>
              <c:f>'Campos-Villareal Data'!$C$3:$C$6</c:f>
              <c:numCache>
                <c:formatCode>General</c:formatCode>
                <c:ptCount val="4"/>
                <c:pt idx="0">
                  <c:v>2.12E-2</c:v>
                </c:pt>
                <c:pt idx="1">
                  <c:v>2.8500000000000001E-2</c:v>
                </c:pt>
                <c:pt idx="2">
                  <c:v>1.8100000000000002E-2</c:v>
                </c:pt>
                <c:pt idx="3">
                  <c:v>9.9000000000000008E-3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975-4095-9B93-C27C23727ED3}"/>
            </c:ext>
          </c:extLst>
        </c:ser>
        <c:ser>
          <c:idx val="2"/>
          <c:order val="2"/>
          <c:tx>
            <c:v>Riverside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'Campos-Villareal Data'!$B$11:$B$14</c:f>
              <c:numCache>
                <c:formatCode>General</c:formatCode>
                <c:ptCount val="4"/>
                <c:pt idx="0">
                  <c:v>0.8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</c:numCache>
            </c:numRef>
          </c:xVal>
          <c:yVal>
            <c:numRef>
              <c:f>'Campos-Villareal Data'!$D$3:$D$6</c:f>
              <c:numCache>
                <c:formatCode>General</c:formatCode>
                <c:ptCount val="4"/>
                <c:pt idx="0">
                  <c:v>3.3300000000000003E-2</c:v>
                </c:pt>
                <c:pt idx="1">
                  <c:v>1.49E-2</c:v>
                </c:pt>
                <c:pt idx="2">
                  <c:v>8.3000000000000001E-3</c:v>
                </c:pt>
                <c:pt idx="3">
                  <c:v>7.1999999999999998E-3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975-4095-9B93-C27C23727ED3}"/>
            </c:ext>
          </c:extLst>
        </c:ser>
        <c:ser>
          <c:idx val="3"/>
          <c:order val="3"/>
          <c:tx>
            <c:v>SVA1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'Campos-Villareal Data'!$B$11:$B$14</c:f>
              <c:numCache>
                <c:formatCode>General</c:formatCode>
                <c:ptCount val="4"/>
                <c:pt idx="0">
                  <c:v>0.8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</c:numCache>
            </c:numRef>
          </c:xVal>
          <c:yVal>
            <c:numRef>
              <c:f>'Campos-Villareal Data'!$E$3:$E$6</c:f>
              <c:numCache>
                <c:formatCode>General</c:formatCode>
                <c:ptCount val="4"/>
                <c:pt idx="0">
                  <c:v>1.7899999999999999E-2</c:v>
                </c:pt>
                <c:pt idx="1">
                  <c:v>1.41E-2</c:v>
                </c:pt>
                <c:pt idx="2">
                  <c:v>9.7000000000000003E-3</c:v>
                </c:pt>
                <c:pt idx="3">
                  <c:v>6.3E-3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975-4095-9B93-C27C23727ED3}"/>
            </c:ext>
          </c:extLst>
        </c:ser>
        <c:ser>
          <c:idx val="4"/>
          <c:order val="4"/>
          <c:tx>
            <c:v>SVA2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'Campos-Villareal Data'!$B$11:$B$14</c:f>
              <c:numCache>
                <c:formatCode>General</c:formatCode>
                <c:ptCount val="4"/>
                <c:pt idx="0">
                  <c:v>0.8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</c:numCache>
            </c:numRef>
          </c:xVal>
          <c:yVal>
            <c:numRef>
              <c:f>'Campos-Villareal Data'!$F$3:$F$6</c:f>
              <c:numCache>
                <c:formatCode>General</c:formatCode>
                <c:ptCount val="4"/>
                <c:pt idx="0">
                  <c:v>3.3599999999999998E-2</c:v>
                </c:pt>
                <c:pt idx="1">
                  <c:v>2.75E-2</c:v>
                </c:pt>
                <c:pt idx="2">
                  <c:v>1.61E-2</c:v>
                </c:pt>
                <c:pt idx="3">
                  <c:v>1.4800000000000001E-2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975-4095-9B93-C27C23727E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1268128"/>
        <c:axId val="971277248"/>
      </c:scatterChart>
      <c:valAx>
        <c:axId val="971268128"/>
        <c:scaling>
          <c:orientation val="minMax"/>
          <c:max val="4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NaCl (mol</a:t>
                </a:r>
                <a:r>
                  <a:rPr lang="en-US" baseline="0"/>
                  <a:t> </a:t>
                </a:r>
                <a:r>
                  <a:rPr lang="en-US"/>
                  <a:t>m</a:t>
                </a:r>
                <a:r>
                  <a:rPr lang="en-US" baseline="30000"/>
                  <a:t>-3</a:t>
                </a:r>
                <a:r>
                  <a:rPr lang="en-US" baseline="0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277248"/>
        <c:crosses val="autoZero"/>
        <c:crossBetween val="midCat"/>
      </c:valAx>
      <c:valAx>
        <c:axId val="971277248"/>
        <c:scaling>
          <c:orientation val="minMax"/>
          <c:max val="0.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Photosynthetic Rate (µmol m</a:t>
                </a:r>
                <a:r>
                  <a:rPr lang="en-US" baseline="30000"/>
                  <a:t>-2</a:t>
                </a:r>
                <a:r>
                  <a:rPr lang="en-US" baseline="0"/>
                  <a:t> s</a:t>
                </a:r>
                <a:r>
                  <a:rPr lang="en-US" baseline="30000"/>
                  <a:t>-1</a:t>
                </a:r>
                <a:r>
                  <a:rPr lang="en-US" baseline="0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2681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5"/>
        <c:delete val="1"/>
      </c:legendEntry>
      <c:legendEntry>
        <c:idx val="6"/>
        <c:delete val="1"/>
      </c:legendEntry>
      <c:layout>
        <c:manualLayout>
          <c:xMode val="edge"/>
          <c:yMode val="edge"/>
          <c:x val="0.79688388790083942"/>
          <c:y val="7.4860540066721951E-2"/>
          <c:w val="0.15796746557300731"/>
          <c:h val="0.30673806404581538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1FAB655-0C0B-413A-A9B0-46A99E816DBB}">
  <sheetPr/>
  <sheetViews>
    <sheetView tabSelected="1" zoomScale="113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2A2ABC2-1C74-41CC-81A7-FE7ED90D92C9}">
  <sheetPr/>
  <sheetViews>
    <sheetView zoomScale="11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5221" cy="628818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A66CAE-5D06-8BBE-E35A-38D8A13131A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5221" cy="628818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1E06AD-FA17-BBE0-41FB-5B41F3822A2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83E70-C9D7-4FE3-9E6B-A83E623DF4AC}">
  <dimension ref="A1:G8"/>
  <sheetViews>
    <sheetView workbookViewId="0">
      <selection activeCell="D14" sqref="D14"/>
    </sheetView>
  </sheetViews>
  <sheetFormatPr defaultRowHeight="15" x14ac:dyDescent="0.25"/>
  <cols>
    <col min="1" max="1" width="44.5703125" customWidth="1"/>
    <col min="2" max="2" width="26.42578125" bestFit="1" customWidth="1"/>
    <col min="3" max="3" width="21.7109375" bestFit="1" customWidth="1"/>
    <col min="4" max="4" width="32.140625" bestFit="1" customWidth="1"/>
    <col min="5" max="5" width="28.7109375" bestFit="1" customWidth="1"/>
    <col min="6" max="6" width="32.140625" bestFit="1" customWidth="1"/>
    <col min="7" max="7" width="20.140625" bestFit="1" customWidth="1"/>
  </cols>
  <sheetData>
    <row r="1" spans="1:7" x14ac:dyDescent="0.25"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</row>
    <row r="2" spans="1:7" x14ac:dyDescent="0.25">
      <c r="A2" t="s">
        <v>0</v>
      </c>
      <c r="B2">
        <v>6.3</v>
      </c>
      <c r="C2">
        <v>0.6</v>
      </c>
      <c r="D2">
        <v>0.08</v>
      </c>
      <c r="E2">
        <v>8.0000000000000002E-3</v>
      </c>
      <c r="F2">
        <v>1.88</v>
      </c>
      <c r="G2">
        <v>0.25</v>
      </c>
    </row>
    <row r="3" spans="1:7" x14ac:dyDescent="0.25">
      <c r="A3" t="s">
        <v>3</v>
      </c>
    </row>
    <row r="4" spans="1:7" x14ac:dyDescent="0.25">
      <c r="A4">
        <v>0</v>
      </c>
      <c r="B4">
        <v>7</v>
      </c>
      <c r="C4">
        <v>0.56999999999999995</v>
      </c>
      <c r="D4">
        <v>0.08</v>
      </c>
      <c r="E4">
        <v>7.0000000000000001E-3</v>
      </c>
      <c r="F4">
        <v>2.1800000000000002</v>
      </c>
      <c r="G4">
        <v>0.24</v>
      </c>
    </row>
    <row r="5" spans="1:7" x14ac:dyDescent="0.25">
      <c r="A5">
        <v>20</v>
      </c>
      <c r="B5">
        <v>6</v>
      </c>
      <c r="C5">
        <v>0.18</v>
      </c>
      <c r="D5">
        <v>0.08</v>
      </c>
      <c r="E5">
        <v>8.9999999999999993E-3</v>
      </c>
      <c r="F5">
        <v>1.68</v>
      </c>
      <c r="G5">
        <v>0.23</v>
      </c>
    </row>
    <row r="6" spans="1:7" x14ac:dyDescent="0.25">
      <c r="A6">
        <v>25</v>
      </c>
      <c r="B6">
        <v>5.0999999999999996</v>
      </c>
      <c r="C6">
        <v>0.08</v>
      </c>
      <c r="D6">
        <v>7.0000000000000007E-2</v>
      </c>
      <c r="E6">
        <v>0.01</v>
      </c>
      <c r="F6">
        <v>1.69</v>
      </c>
      <c r="G6">
        <v>0.25</v>
      </c>
    </row>
    <row r="7" spans="1:7" x14ac:dyDescent="0.25">
      <c r="A7">
        <v>30</v>
      </c>
      <c r="B7">
        <v>4.8</v>
      </c>
      <c r="C7">
        <v>0.3</v>
      </c>
      <c r="D7">
        <v>0.05</v>
      </c>
      <c r="E7">
        <v>3.0000000000000001E-3</v>
      </c>
      <c r="F7">
        <v>1.22</v>
      </c>
      <c r="G7">
        <v>0.08</v>
      </c>
    </row>
    <row r="8" spans="1:7" x14ac:dyDescent="0.25">
      <c r="A8">
        <v>35</v>
      </c>
      <c r="B8">
        <v>4</v>
      </c>
      <c r="C8">
        <v>0.63</v>
      </c>
      <c r="D8">
        <v>0.05</v>
      </c>
      <c r="E8">
        <v>3.0000000000000001E-3</v>
      </c>
      <c r="F8">
        <v>1.2</v>
      </c>
      <c r="G8">
        <v>0.15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CF77E-8971-4EF4-9E6E-8FC73109F299}">
  <dimension ref="A1:F14"/>
  <sheetViews>
    <sheetView workbookViewId="0">
      <selection activeCell="J12" sqref="J12"/>
    </sheetView>
  </sheetViews>
  <sheetFormatPr defaultRowHeight="15" x14ac:dyDescent="0.25"/>
  <cols>
    <col min="1" max="1" width="13.42578125" customWidth="1"/>
    <col min="2" max="2" width="42.5703125" customWidth="1"/>
    <col min="3" max="3" width="13.28515625" customWidth="1"/>
    <col min="4" max="4" width="11.140625" customWidth="1"/>
    <col min="5" max="5" width="12.5703125" customWidth="1"/>
    <col min="6" max="6" width="13.5703125" customWidth="1"/>
  </cols>
  <sheetData>
    <row r="1" spans="1:6" ht="15.75" thickBot="1" x14ac:dyDescent="0.3">
      <c r="A1" s="4" t="s">
        <v>14</v>
      </c>
      <c r="B1" s="5"/>
      <c r="C1" s="5"/>
      <c r="D1" s="5"/>
      <c r="E1" s="5"/>
      <c r="F1" s="5"/>
    </row>
    <row r="2" spans="1:6" ht="33.75" thickBot="1" x14ac:dyDescent="0.3">
      <c r="A2" s="1" t="s">
        <v>8</v>
      </c>
      <c r="B2" s="1" t="s">
        <v>13</v>
      </c>
      <c r="C2" s="1" t="s">
        <v>9</v>
      </c>
      <c r="D2" s="1" t="s">
        <v>10</v>
      </c>
      <c r="E2" s="1" t="s">
        <v>11</v>
      </c>
      <c r="F2" s="1" t="s">
        <v>12</v>
      </c>
    </row>
    <row r="3" spans="1:6" ht="17.25" thickBot="1" x14ac:dyDescent="0.3">
      <c r="A3" s="2">
        <v>0.08</v>
      </c>
      <c r="B3" s="2">
        <f>A3*10</f>
        <v>0.8</v>
      </c>
      <c r="C3" s="2">
        <v>2.12E-2</v>
      </c>
      <c r="D3" s="2">
        <v>3.3300000000000003E-2</v>
      </c>
      <c r="E3" s="2">
        <v>1.7899999999999999E-2</v>
      </c>
      <c r="F3" s="2">
        <v>3.3599999999999998E-2</v>
      </c>
    </row>
    <row r="4" spans="1:6" ht="17.25" thickBot="1" x14ac:dyDescent="0.3">
      <c r="A4" s="2">
        <v>2.5</v>
      </c>
      <c r="B4" s="2">
        <f t="shared" ref="B4:B6" si="0">A4*10</f>
        <v>25</v>
      </c>
      <c r="C4" s="2">
        <v>2.8500000000000001E-2</v>
      </c>
      <c r="D4" s="2">
        <v>1.49E-2</v>
      </c>
      <c r="E4" s="2">
        <v>1.41E-2</v>
      </c>
      <c r="F4" s="2">
        <v>2.75E-2</v>
      </c>
    </row>
    <row r="5" spans="1:6" ht="17.25" thickBot="1" x14ac:dyDescent="0.3">
      <c r="A5" s="2">
        <v>3</v>
      </c>
      <c r="B5" s="2">
        <f t="shared" si="0"/>
        <v>30</v>
      </c>
      <c r="C5" s="2">
        <v>1.8100000000000002E-2</v>
      </c>
      <c r="D5" s="2">
        <v>8.3000000000000001E-3</v>
      </c>
      <c r="E5" s="2">
        <v>9.7000000000000003E-3</v>
      </c>
      <c r="F5" s="2">
        <v>1.61E-2</v>
      </c>
    </row>
    <row r="6" spans="1:6" ht="17.25" thickBot="1" x14ac:dyDescent="0.3">
      <c r="A6" s="2">
        <v>3.5</v>
      </c>
      <c r="B6" s="2">
        <f t="shared" si="0"/>
        <v>35</v>
      </c>
      <c r="C6" s="2">
        <v>9.9000000000000008E-3</v>
      </c>
      <c r="D6" s="2">
        <v>7.1999999999999998E-3</v>
      </c>
      <c r="E6" s="2">
        <v>6.3E-3</v>
      </c>
      <c r="F6" s="3">
        <v>1.4800000000000001E-2</v>
      </c>
    </row>
    <row r="9" spans="1:6" ht="15.75" thickBot="1" x14ac:dyDescent="0.3">
      <c r="A9" s="4" t="s">
        <v>15</v>
      </c>
      <c r="B9" s="5"/>
      <c r="C9" s="5"/>
      <c r="D9" s="5"/>
      <c r="E9" s="5"/>
      <c r="F9" s="5"/>
    </row>
    <row r="10" spans="1:6" ht="33.75" thickBot="1" x14ac:dyDescent="0.3">
      <c r="A10" s="1" t="s">
        <v>8</v>
      </c>
      <c r="B10" s="1" t="s">
        <v>13</v>
      </c>
      <c r="C10" s="1" t="s">
        <v>9</v>
      </c>
      <c r="D10" s="1" t="s">
        <v>10</v>
      </c>
      <c r="E10" s="1" t="s">
        <v>11</v>
      </c>
      <c r="F10" s="1" t="s">
        <v>12</v>
      </c>
    </row>
    <row r="11" spans="1:6" ht="17.25" thickBot="1" x14ac:dyDescent="0.3">
      <c r="A11" s="2">
        <v>0.08</v>
      </c>
      <c r="B11">
        <f>A11*10</f>
        <v>0.8</v>
      </c>
      <c r="C11" s="2">
        <v>5.2</v>
      </c>
      <c r="D11" s="2">
        <v>5.3</v>
      </c>
      <c r="E11" s="2">
        <v>5.2</v>
      </c>
      <c r="F11" s="2">
        <v>4.3</v>
      </c>
    </row>
    <row r="12" spans="1:6" ht="17.25" thickBot="1" x14ac:dyDescent="0.3">
      <c r="A12" s="2">
        <v>2.5</v>
      </c>
      <c r="B12">
        <f t="shared" ref="B12:B14" si="1">A12*10</f>
        <v>25</v>
      </c>
      <c r="C12" s="2">
        <v>3.7</v>
      </c>
      <c r="D12" s="2">
        <v>4.3</v>
      </c>
      <c r="E12" s="2">
        <v>4.7</v>
      </c>
      <c r="F12" s="2">
        <v>4</v>
      </c>
    </row>
    <row r="13" spans="1:6" ht="17.25" thickBot="1" x14ac:dyDescent="0.3">
      <c r="A13" s="2">
        <v>3</v>
      </c>
      <c r="B13">
        <f t="shared" si="1"/>
        <v>30</v>
      </c>
      <c r="C13" s="2">
        <v>2.6</v>
      </c>
      <c r="D13" s="2">
        <v>3.7</v>
      </c>
      <c r="E13" s="2">
        <v>3.9</v>
      </c>
      <c r="F13" s="2">
        <v>2.7</v>
      </c>
    </row>
    <row r="14" spans="1:6" ht="17.25" thickBot="1" x14ac:dyDescent="0.3">
      <c r="A14" s="2">
        <v>3.5</v>
      </c>
      <c r="B14">
        <f t="shared" si="1"/>
        <v>35</v>
      </c>
      <c r="C14" s="2">
        <v>1.8</v>
      </c>
      <c r="D14" s="2">
        <v>3.7</v>
      </c>
      <c r="E14" s="2">
        <v>2.9</v>
      </c>
      <c r="F14" s="2">
        <v>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2</vt:i4>
      </vt:variant>
    </vt:vector>
  </HeadingPairs>
  <TitlesOfParts>
    <vt:vector size="4" baseType="lpstr">
      <vt:lpstr>Sanchez-Ledema Data</vt:lpstr>
      <vt:lpstr>Campos-Villareal Data</vt:lpstr>
      <vt:lpstr>Photosynthetic Rate Reduct Plot</vt:lpstr>
      <vt:lpstr>Stomatal Conductance Reduc Plot</vt:lpstr>
    </vt:vector>
  </TitlesOfParts>
  <Company>The Geosyntec family of companies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Gottlieb</dc:creator>
  <cp:lastModifiedBy>Josh Gottlieb</cp:lastModifiedBy>
  <dcterms:created xsi:type="dcterms:W3CDTF">2026-04-06T04:24:07Z</dcterms:created>
  <dcterms:modified xsi:type="dcterms:W3CDTF">2026-04-08T03:31:33Z</dcterms:modified>
</cp:coreProperties>
</file>