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e73ff6e8b2309b/Documents/SourceCode/Photo3-Plant-Salinity-Traits/data/literature_data/"/>
    </mc:Choice>
  </mc:AlternateContent>
  <xr:revisionPtr revIDLastSave="14" documentId="6_{FF5F9A53-EC15-479F-B7D8-023BD0B5887F}" xr6:coauthVersionLast="47" xr6:coauthVersionMax="47" xr10:uidLastSave="{2BF46EFB-2C98-45D2-A3D8-9E509FBB6C58}"/>
  <bookViews>
    <workbookView xWindow="-98" yWindow="-98" windowWidth="21795" windowHeight="12975" firstSheet="5" activeTab="7" xr2:uid="{C0AAE20D-2553-4379-8EED-88D25BB078BE}"/>
  </bookViews>
  <sheets>
    <sheet name="Sanchez-Ledesma Data" sheetId="1" r:id="rId1"/>
    <sheet name="Cao et al Data" sheetId="6" r:id="rId2"/>
    <sheet name="Campos-Villareal Data" sheetId="3" r:id="rId3"/>
    <sheet name="Photosynthetic Rate Reduct Plot" sheetId="2" r:id="rId4"/>
    <sheet name="Photosynthetic Pct Reduct" sheetId="5" r:id="rId5"/>
    <sheet name="Stomatal Conductance Reduc Plot" sheetId="4" r:id="rId6"/>
    <sheet name="Dry Weight" sheetId="7" r:id="rId7"/>
    <sheet name="Campos-Villareal Ion Accum" sheetId="8" r:id="rId8"/>
    <sheet name="Sanchez-Ledesma Ion Accum" sheetId="9" r:id="rId9"/>
    <sheet name="Campos-Villareal Ion Ratios" sheetId="10" r:id="rId10"/>
    <sheet name="Sanchez-Ledesma Ion Ratios" sheetId="11" r:id="rId11"/>
  </sheets>
  <definedNames>
    <definedName name="_xlnm._FilterDatabase" localSheetId="7" hidden="1">'Campos-Villareal Ion Accum'!$A$3:$L$3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1" l="1"/>
  <c r="K15" i="10"/>
  <c r="F15" i="7"/>
  <c r="D15" i="7"/>
  <c r="B17" i="7"/>
  <c r="B19" i="7"/>
  <c r="B16" i="7"/>
  <c r="B15" i="7"/>
  <c r="C21" i="7"/>
  <c r="B21" i="7"/>
  <c r="B20" i="7"/>
  <c r="B18" i="7"/>
  <c r="F10" i="7"/>
  <c r="D10" i="7" l="1"/>
  <c r="G10" i="7" s="1"/>
  <c r="C10" i="7"/>
  <c r="E10" i="7" s="1"/>
  <c r="O6" i="3"/>
  <c r="O4" i="3"/>
  <c r="O5" i="3"/>
  <c r="O3" i="3"/>
  <c r="L14" i="3"/>
  <c r="M14" i="3"/>
  <c r="N14" i="3"/>
  <c r="K14" i="3"/>
  <c r="L13" i="3"/>
  <c r="M13" i="3"/>
  <c r="N13" i="3"/>
  <c r="K13" i="3"/>
  <c r="L12" i="3"/>
  <c r="M12" i="3"/>
  <c r="N12" i="3"/>
  <c r="K12" i="3"/>
  <c r="L11" i="3"/>
  <c r="M11" i="3"/>
  <c r="N11" i="3"/>
  <c r="K11" i="3"/>
  <c r="L6" i="3"/>
  <c r="M6" i="3"/>
  <c r="N6" i="3"/>
  <c r="K6" i="3"/>
  <c r="L5" i="3"/>
  <c r="M5" i="3"/>
  <c r="N5" i="3"/>
  <c r="K5" i="3"/>
  <c r="L4" i="3"/>
  <c r="M4" i="3"/>
  <c r="N4" i="3"/>
  <c r="K4" i="3"/>
  <c r="L3" i="3"/>
  <c r="M3" i="3"/>
  <c r="N3" i="3"/>
  <c r="K3" i="3"/>
  <c r="G2" i="3"/>
  <c r="K2" i="3" s="1"/>
  <c r="J10" i="3"/>
  <c r="I10" i="3"/>
  <c r="M10" i="3" s="1"/>
  <c r="H10" i="3"/>
  <c r="L10" i="3" s="1"/>
  <c r="G10" i="3"/>
  <c r="K10" i="3" s="1"/>
  <c r="J2" i="3"/>
  <c r="N2" i="3" s="1"/>
  <c r="I2" i="3"/>
  <c r="M2" i="3" s="1"/>
  <c r="H2" i="3"/>
  <c r="L2" i="3" s="1"/>
  <c r="N10" i="3"/>
  <c r="I3" i="1"/>
  <c r="I2" i="1"/>
  <c r="E3" i="1"/>
  <c r="E4" i="1"/>
  <c r="E5" i="1"/>
  <c r="E6" i="1"/>
  <c r="E2" i="1"/>
  <c r="H11" i="3"/>
  <c r="I11" i="3"/>
  <c r="J11" i="3"/>
  <c r="H12" i="3"/>
  <c r="I12" i="3"/>
  <c r="J12" i="3"/>
  <c r="H13" i="3"/>
  <c r="I13" i="3"/>
  <c r="J13" i="3"/>
  <c r="H14" i="3"/>
  <c r="I14" i="3"/>
  <c r="J14" i="3"/>
  <c r="G13" i="3"/>
  <c r="G14" i="3"/>
  <c r="G12" i="3"/>
  <c r="G11" i="3"/>
  <c r="H4" i="3"/>
  <c r="I4" i="3"/>
  <c r="J4" i="3"/>
  <c r="H5" i="3"/>
  <c r="I5" i="3"/>
  <c r="J5" i="3"/>
  <c r="H6" i="3"/>
  <c r="I6" i="3"/>
  <c r="J6" i="3"/>
  <c r="G5" i="3"/>
  <c r="G6" i="3"/>
  <c r="G4" i="3"/>
  <c r="H3" i="3"/>
  <c r="I3" i="3"/>
  <c r="J3" i="3"/>
  <c r="G3" i="3"/>
  <c r="H4" i="1"/>
  <c r="I4" i="1" s="1"/>
  <c r="H5" i="1"/>
  <c r="I5" i="1" s="1"/>
  <c r="H6" i="1"/>
  <c r="I6" i="1" s="1"/>
  <c r="H3" i="1"/>
  <c r="D4" i="1"/>
  <c r="D5" i="1"/>
  <c r="D6" i="1"/>
  <c r="D3" i="1"/>
  <c r="B12" i="3"/>
  <c r="B13" i="3"/>
  <c r="B14" i="3"/>
  <c r="B11" i="3"/>
  <c r="B4" i="3"/>
  <c r="B5" i="3"/>
  <c r="B6" i="3"/>
  <c r="B3" i="3"/>
  <c r="D20" i="7" l="1"/>
  <c r="E20" i="7" s="1"/>
  <c r="F20" i="7" s="1"/>
  <c r="D19" i="7"/>
  <c r="E19" i="7" s="1"/>
  <c r="F19" i="7" s="1"/>
  <c r="D17" i="7"/>
  <c r="E17" i="7" s="1"/>
  <c r="F17" i="7" s="1"/>
  <c r="D18" i="7"/>
  <c r="E18" i="7" s="1"/>
  <c r="F18" i="7" s="1"/>
  <c r="D16" i="7"/>
  <c r="E16" i="7" s="1"/>
  <c r="F16" i="7" s="1"/>
  <c r="D22" i="7"/>
  <c r="E22" i="7" s="1"/>
  <c r="F22" i="7" s="1"/>
  <c r="E15" i="7"/>
  <c r="D21" i="7"/>
  <c r="E21" i="7" s="1"/>
  <c r="F21" i="7" s="1"/>
</calcChain>
</file>

<file path=xl/sharedStrings.xml><?xml version="1.0" encoding="utf-8"?>
<sst xmlns="http://schemas.openxmlformats.org/spreadsheetml/2006/main" count="1088" uniqueCount="90">
  <si>
    <t>Photosynthesis_uM_m-2_s-1</t>
  </si>
  <si>
    <t>Std_Err_Photosynthesis</t>
  </si>
  <si>
    <t>Stomatal_conductance_M_m-2_s-1</t>
  </si>
  <si>
    <t>Std_Err_Stomatal_Conductance</t>
  </si>
  <si>
    <t>Transpiration_mM_m-2_s-1</t>
  </si>
  <si>
    <t>Std_Err_Transpiration</t>
  </si>
  <si>
    <t>Salinity (dS·m⁻¹)</t>
  </si>
  <si>
    <t>Apache</t>
  </si>
  <si>
    <t>Riverside</t>
  </si>
  <si>
    <t>SVA1</t>
  </si>
  <si>
    <t>SVA2</t>
  </si>
  <si>
    <t>Salinity(mMol) (Approximate)</t>
  </si>
  <si>
    <t>Stomatal Conductance (mol H2O/m2/s</t>
  </si>
  <si>
    <t>Photosynthesis (umol CO2/m2/s)</t>
  </si>
  <si>
    <t>Percent_Baseline</t>
  </si>
  <si>
    <t>Percent_Reduction</t>
  </si>
  <si>
    <t>Percent_Reduction_Avg</t>
  </si>
  <si>
    <t>Soil_Salt_Concentration_mol_m3</t>
  </si>
  <si>
    <t xml:space="preserve">Biological and Practical Importanceof Light Microenvironments in aTree: Participatory Research to Match Teaching and Learning Styles </t>
  </si>
  <si>
    <t>G. A. Picchioni, S. A. Weinbaum,D. L. Daniel, and H. Karaca</t>
  </si>
  <si>
    <t>Inner Canopy</t>
  </si>
  <si>
    <t>Specific Leaf Weight (mg/cm2)</t>
  </si>
  <si>
    <t>Outer Canopy</t>
  </si>
  <si>
    <t>Average</t>
  </si>
  <si>
    <t>Leaf Area in Model - From Average Lab measurement(cm2)</t>
  </si>
  <si>
    <t>Leaf Weight (kg)</t>
  </si>
  <si>
    <t xml:space="preserve">Storage Volume Leaf (model) per Leaf Area (m) </t>
  </si>
  <si>
    <t xml:space="preserve">Storage Volume Leaf (model)  (m3) </t>
  </si>
  <si>
    <t>NaCl in Leaf (mg/kg)</t>
  </si>
  <si>
    <t>NaCl in Leaf (Model Target) (mg)</t>
  </si>
  <si>
    <t>NaCl in Leaf (Model Target) (mol)</t>
  </si>
  <si>
    <t>Max</t>
  </si>
  <si>
    <t>Min</t>
  </si>
  <si>
    <t>Leaf Concentration NaCl after 48 days (mM)</t>
  </si>
  <si>
    <t>Leaf Dry Weight per Area taken From:</t>
  </si>
  <si>
    <t>Leaf Mass Concentrations from Campos-Villareal et. al, 2017</t>
  </si>
  <si>
    <t>Soil NaCl Concentration (mM)</t>
  </si>
  <si>
    <t>Digitized from Campos-Villarreal et al. 2017 Figures 1 (Na+) and 2 (Cl-) with data/literature_data/salt_accumulation_analysis/digitize_campos_villarreal.py</t>
  </si>
  <si>
    <t>Means over n=240 observations; error bars are SE of the mean.</t>
  </si>
  <si>
    <t>cultivar</t>
  </si>
  <si>
    <t>salinity_dS_m</t>
  </si>
  <si>
    <t>compartment</t>
  </si>
  <si>
    <t>ion</t>
  </si>
  <si>
    <t>value</t>
  </si>
  <si>
    <t>se</t>
  </si>
  <si>
    <t>units</t>
  </si>
  <si>
    <t>error_type</t>
  </si>
  <si>
    <t>figure</t>
  </si>
  <si>
    <t>panel</t>
  </si>
  <si>
    <t>page</t>
  </si>
  <si>
    <t>method</t>
  </si>
  <si>
    <t>leaf</t>
  </si>
  <si>
    <t>Na+</t>
  </si>
  <si>
    <t>mg/kg dry weight</t>
  </si>
  <si>
    <t>SE (n=240 obs)</t>
  </si>
  <si>
    <t>a</t>
  </si>
  <si>
    <t>raster pixel extraction</t>
  </si>
  <si>
    <t>stem</t>
  </si>
  <si>
    <t>b</t>
  </si>
  <si>
    <t>root</t>
  </si>
  <si>
    <t>c</t>
  </si>
  <si>
    <t>Cl-</t>
  </si>
  <si>
    <t>Digitized from Sanchez-Ledesma et al. 2022 Figures 1 (Na+) and 2 (K+) with data/literature_data/salt_accumulation_analysis/digitize_sanchez_ledesma.py</t>
  </si>
  <si>
    <t>Testigo = not inoculated, no NaCl; all other treatments inoculated with Scleroderma sp.</t>
  </si>
  <si>
    <t>treatment</t>
  </si>
  <si>
    <t>nacl_mM</t>
  </si>
  <si>
    <t>inoculated</t>
  </si>
  <si>
    <t>Testigo</t>
  </si>
  <si>
    <t>mg/g dry weight</t>
  </si>
  <si>
    <t>SE (n=5)</t>
  </si>
  <si>
    <t>vector error-bar extraction</t>
  </si>
  <si>
    <t>0 mM</t>
  </si>
  <si>
    <t>20 mM</t>
  </si>
  <si>
    <t>25 mM</t>
  </si>
  <si>
    <t>30 mM</t>
  </si>
  <si>
    <t>35 mM</t>
  </si>
  <si>
    <t>K+</t>
  </si>
  <si>
    <t>Mean concentrations (mg/kg dry weight) and compartment ratios from 'Campos-Villareal Ion Accum'; made with data/literature_data/salt_accumulation_analysis/ion_partitioning.py</t>
  </si>
  <si>
    <t>Means over the 4 cultivars. 'above control' = treatment minus control; 'leaf share' = leaf / (leaf + stem + root)</t>
  </si>
  <si>
    <t>basis</t>
  </si>
  <si>
    <t>leaf/stem</t>
  </si>
  <si>
    <t>leaf/root</t>
  </si>
  <si>
    <t>stem/root</t>
  </si>
  <si>
    <t>leaf share</t>
  </si>
  <si>
    <t>absolute</t>
  </si>
  <si>
    <t>2.5-3.5 mean</t>
  </si>
  <si>
    <t>above control</t>
  </si>
  <si>
    <t>Mean concentrations (mg/g dry weight) and compartment ratios from 'Sanchez-Ledesma Ion Accum'; made with data/literature_data/salt_accumulation_analysis/ion_partitioning.py</t>
  </si>
  <si>
    <t>Testigo = not inoculated, no NaCl; other treatments inoculated with Scleroderma sp.; 'above control' uses the inoculated 0 mM treatment. 'above control' = treatment minus control; 'leaf share' = leaf / (leaf + stem + root)</t>
  </si>
  <si>
    <t>20 mM-35 mM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</si>
</sst>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3" borderId="0" xfId="0" applyFont="1" applyFill="1"/>
    <xf numFmtId="0" fontId="0" fillId="3" borderId="0" xfId="0" applyFill="1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4" borderId="0" xfId="0" applyFill="1"/>
    <xf numFmtId="0" fontId="1" fillId="0" borderId="0" xfId="0" applyFont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8.xml"/><Relationship Id="rId5" Type="http://schemas.openxmlformats.org/officeDocument/2006/relationships/chartsheet" Target="chartsheets/sheet2.xml"/><Relationship Id="rId15" Type="http://schemas.microsoft.com/office/2017/10/relationships/person" Target="persons/person.xml"/><Relationship Id="rId10" Type="http://schemas.openxmlformats.org/officeDocument/2006/relationships/worksheet" Target="worksheets/sheet7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microrhizal fungi)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plus>
            <c:min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'Sanchez-Ledesma Data'!$A$2:$A$6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'Sanchez-Ledesma Data'!$B$2:$B$6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5.0999999999999996</c:v>
                </c:pt>
                <c:pt idx="3">
                  <c:v>4.8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39-4AA1-8FE1-F62C1FB0C248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Data'!$C$11:$C$14</c:f>
              <c:numCache>
                <c:formatCode>General</c:formatCode>
                <c:ptCount val="4"/>
                <c:pt idx="0">
                  <c:v>5.2</c:v>
                </c:pt>
                <c:pt idx="1">
                  <c:v>3.7</c:v>
                </c:pt>
                <c:pt idx="2">
                  <c:v>2.6</c:v>
                </c:pt>
                <c:pt idx="3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98-46D4-A30B-1BCDDD6F9ADC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Data'!$D$11:$D$14</c:f>
              <c:numCache>
                <c:formatCode>General</c:formatCode>
                <c:ptCount val="4"/>
                <c:pt idx="0">
                  <c:v>5.3</c:v>
                </c:pt>
                <c:pt idx="1">
                  <c:v>4.3</c:v>
                </c:pt>
                <c:pt idx="2">
                  <c:v>3.7</c:v>
                </c:pt>
                <c:pt idx="3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98-46D4-A30B-1BCDDD6F9ADC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Data'!$E$11:$E$14</c:f>
              <c:numCache>
                <c:formatCode>General</c:formatCode>
                <c:ptCount val="4"/>
                <c:pt idx="0">
                  <c:v>5.2</c:v>
                </c:pt>
                <c:pt idx="1">
                  <c:v>4.7</c:v>
                </c:pt>
                <c:pt idx="2">
                  <c:v>3.9</c:v>
                </c:pt>
                <c:pt idx="3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98-46D4-A30B-1BCDDD6F9ADC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Data'!$F$11:$F$14</c:f>
              <c:numCache>
                <c:formatCode>General</c:formatCode>
                <c:ptCount val="4"/>
                <c:pt idx="0">
                  <c:v>4.3</c:v>
                </c:pt>
                <c:pt idx="1">
                  <c:v>4</c:v>
                </c:pt>
                <c:pt idx="2">
                  <c:v>2.7</c:v>
                </c:pt>
                <c:pt idx="3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98-46D4-A30B-1BCDDD6F9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0914005941564997"/>
          <c:y val="0.46674484415803635"/>
          <c:w val="0.17669752819359119"/>
          <c:h val="0.4071517510500342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microrhizal fungi)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plus>
            <c:min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'Sanchez-Ledesma Data'!$A$2:$A$6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'Sanchez-Ledesma Data'!$E$2:$E$6</c:f>
              <c:numCache>
                <c:formatCode>0.000</c:formatCode>
                <c:ptCount val="5"/>
                <c:pt idx="0">
                  <c:v>0</c:v>
                </c:pt>
                <c:pt idx="1">
                  <c:v>0.14285714285714279</c:v>
                </c:pt>
                <c:pt idx="2">
                  <c:v>0.27142857142857146</c:v>
                </c:pt>
                <c:pt idx="3">
                  <c:v>0.31428571428571428</c:v>
                </c:pt>
                <c:pt idx="4">
                  <c:v>0.4285714285714286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F2-4EB8-811D-49B40C5758E9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Data'!$K$11:$K$14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0.28846153846153844</c:v>
                </c:pt>
                <c:pt idx="2">
                  <c:v>0.5</c:v>
                </c:pt>
                <c:pt idx="3">
                  <c:v>0.65384615384615385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F2-4EB8-811D-49B40C5758E9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Data'!$L$11:$L$14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0.18867924528301883</c:v>
                </c:pt>
                <c:pt idx="2">
                  <c:v>0.30188679245283012</c:v>
                </c:pt>
                <c:pt idx="3">
                  <c:v>0.30188679245283012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F2-4EB8-811D-49B40C5758E9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Data'!$M$11:$M$14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9.6153846153846145E-2</c:v>
                </c:pt>
                <c:pt idx="2">
                  <c:v>0.25</c:v>
                </c:pt>
                <c:pt idx="3">
                  <c:v>0.44230769230769229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F2-4EB8-811D-49B40C5758E9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Data'!$N$11:$N$14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6.9767441860465018E-2</c:v>
                </c:pt>
                <c:pt idx="2">
                  <c:v>0.37209302325581395</c:v>
                </c:pt>
                <c:pt idx="3">
                  <c:v>0.39534883720930236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9F2-4EB8-811D-49B40C5758E9}"/>
            </c:ext>
          </c:extLst>
        </c:ser>
        <c:ser>
          <c:idx val="5"/>
          <c:order val="5"/>
          <c:tx>
            <c:v>Average From Campos-Villareal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Data'!$O$3:$O$6</c:f>
              <c:numCache>
                <c:formatCode>0.000</c:formatCode>
                <c:ptCount val="4"/>
                <c:pt idx="0">
                  <c:v>0</c:v>
                </c:pt>
                <c:pt idx="1">
                  <c:v>0.23659766859836692</c:v>
                </c:pt>
                <c:pt idx="2">
                  <c:v>0.46897776445941036</c:v>
                </c:pt>
                <c:pt idx="3">
                  <c:v>0.63109278849238792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9F2-4EB8-811D-49B40C57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0180062125261866"/>
          <c:y val="2.2860859290444964E-2"/>
          <c:w val="0.32090413927616845"/>
          <c:h val="0.419927912541827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microrhizal fungi)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'Sanchez-Ledesma Data'!$A$2:$A$6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'Sanchez-Ledesma Data'!$F$2:$F$6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75-4095-9B93-C27C23727ED3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Data'!$C$3:$C$6</c:f>
              <c:numCache>
                <c:formatCode>General</c:formatCode>
                <c:ptCount val="4"/>
                <c:pt idx="0">
                  <c:v>2.12E-2</c:v>
                </c:pt>
                <c:pt idx="1">
                  <c:v>2.8500000000000001E-2</c:v>
                </c:pt>
                <c:pt idx="2">
                  <c:v>1.8100000000000002E-2</c:v>
                </c:pt>
                <c:pt idx="3">
                  <c:v>9.9000000000000008E-3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75-4095-9B93-C27C23727ED3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Data'!$D$3:$D$6</c:f>
              <c:numCache>
                <c:formatCode>General</c:formatCode>
                <c:ptCount val="4"/>
                <c:pt idx="0">
                  <c:v>3.3300000000000003E-2</c:v>
                </c:pt>
                <c:pt idx="1">
                  <c:v>1.49E-2</c:v>
                </c:pt>
                <c:pt idx="2">
                  <c:v>8.3000000000000001E-3</c:v>
                </c:pt>
                <c:pt idx="3">
                  <c:v>7.1999999999999998E-3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75-4095-9B93-C27C23727ED3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Data'!$E$3:$E$6</c:f>
              <c:numCache>
                <c:formatCode>General</c:formatCode>
                <c:ptCount val="4"/>
                <c:pt idx="0">
                  <c:v>1.7899999999999999E-2</c:v>
                </c:pt>
                <c:pt idx="1">
                  <c:v>1.41E-2</c:v>
                </c:pt>
                <c:pt idx="2">
                  <c:v>9.7000000000000003E-3</c:v>
                </c:pt>
                <c:pt idx="3">
                  <c:v>6.3E-3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75-4095-9B93-C27C23727ED3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Data'!$F$3:$F$6</c:f>
              <c:numCache>
                <c:formatCode>General</c:formatCode>
                <c:ptCount val="4"/>
                <c:pt idx="0">
                  <c:v>3.3599999999999998E-2</c:v>
                </c:pt>
                <c:pt idx="1">
                  <c:v>2.75E-2</c:v>
                </c:pt>
                <c:pt idx="2">
                  <c:v>1.61E-2</c:v>
                </c:pt>
                <c:pt idx="3">
                  <c:v>1.4800000000000001E-2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75-4095-9B93-C27C23727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76025381442704287"/>
          <c:y val="7.7382609645421055E-2"/>
          <c:w val="0.18360849124628656"/>
          <c:h val="0.3319587731230948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'Campos-Villareal Ion Accum'!$B$28:$B$31</c:f>
              <c:numCache>
                <c:formatCode>General</c:formatCode>
                <c:ptCount val="4"/>
                <c:pt idx="0">
                  <c:v>0.08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</c:numCache>
            </c:numRef>
          </c:xVal>
          <c:yVal>
            <c:numRef>
              <c:f>'Campos-Villareal Ion Accum'!$E$28:$E$31</c:f>
              <c:numCache>
                <c:formatCode>General</c:formatCode>
                <c:ptCount val="4"/>
                <c:pt idx="0">
                  <c:v>298.08999999999997</c:v>
                </c:pt>
                <c:pt idx="1">
                  <c:v>639.08000000000004</c:v>
                </c:pt>
                <c:pt idx="2">
                  <c:v>987.74</c:v>
                </c:pt>
                <c:pt idx="3">
                  <c:v>1259.77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7-44AD-8228-46670C596615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Ion Accum'!$B$4:$B$7</c:f>
              <c:numCache>
                <c:formatCode>General</c:formatCode>
                <c:ptCount val="4"/>
                <c:pt idx="0">
                  <c:v>0.08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</c:numCache>
            </c:numRef>
          </c:xVal>
          <c:yVal>
            <c:numRef>
              <c:f>'Campos-Villareal Ion Accum'!$E$4:$E$7</c:f>
              <c:numCache>
                <c:formatCode>General</c:formatCode>
                <c:ptCount val="4"/>
                <c:pt idx="0">
                  <c:v>163.99</c:v>
                </c:pt>
                <c:pt idx="1">
                  <c:v>317.24</c:v>
                </c:pt>
                <c:pt idx="2">
                  <c:v>443.68</c:v>
                </c:pt>
                <c:pt idx="3">
                  <c:v>665.9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E7-44AD-8228-46670C596615}"/>
            </c:ext>
          </c:extLst>
        </c:ser>
        <c:ser>
          <c:idx val="2"/>
          <c:order val="2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Ion Accum'!$B$52:$B$55</c:f>
              <c:numCache>
                <c:formatCode>General</c:formatCode>
                <c:ptCount val="4"/>
                <c:pt idx="0">
                  <c:v>0.08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</c:numCache>
            </c:numRef>
          </c:xVal>
          <c:yVal>
            <c:numRef>
              <c:f>'Campos-Villareal Ion Accum'!$E$52:$E$55</c:f>
              <c:numCache>
                <c:formatCode>General</c:formatCode>
                <c:ptCount val="4"/>
                <c:pt idx="0">
                  <c:v>254.02</c:v>
                </c:pt>
                <c:pt idx="1">
                  <c:v>947.51</c:v>
                </c:pt>
                <c:pt idx="2">
                  <c:v>951.34</c:v>
                </c:pt>
                <c:pt idx="3">
                  <c:v>981.99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E7-44AD-8228-46670C596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927616"/>
        <c:axId val="1803371824"/>
      </c:scatterChart>
      <c:valAx>
        <c:axId val="28792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71824"/>
        <c:crosses val="autoZero"/>
        <c:crossBetween val="midCat"/>
      </c:valAx>
      <c:valAx>
        <c:axId val="18033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92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FAB655-0C0B-413A-A9B0-46A99E816DBB}">
  <sheetPr/>
  <sheetViews>
    <sheetView zoomScale="8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FB0062-9897-4F66-9A19-B87040357B96}">
  <sheetPr/>
  <sheetViews>
    <sheetView zoomScale="8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A2ABC2-1C74-41CC-81A7-FE7ED90D92C9}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612" cy="62788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66CAE-5D06-8BBE-E35A-38D8A13131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47206" cy="627529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F6B27-6D36-C9BA-ABFE-1BF628FB31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47206" cy="627529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E06AD-FA17-BBE0-41FB-5B41F3822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14</xdr:col>
      <xdr:colOff>209884</xdr:colOff>
      <xdr:row>38</xdr:row>
      <xdr:rowOff>55831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18C056-0B0E-9B35-6363-DEACD8C85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40125" y="0"/>
          <a:ext cx="3856054" cy="676714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14</xdr:col>
      <xdr:colOff>495660</xdr:colOff>
      <xdr:row>81</xdr:row>
      <xdr:rowOff>97792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4467A3-D577-F623-A6AC-461443C29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40125" y="6877050"/>
          <a:ext cx="4153260" cy="73463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135730</xdr:colOff>
      <xdr:row>3</xdr:row>
      <xdr:rowOff>52388</xdr:rowOff>
    </xdr:from>
    <xdr:to>
      <xdr:col>23</xdr:col>
      <xdr:colOff>173830</xdr:colOff>
      <xdr:row>18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3AC4CF-FD0E-818E-B1A9-23511536B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3E70-C9D7-4FE3-9E6B-A83E623DF4AC}">
  <dimension ref="A1:K6"/>
  <sheetViews>
    <sheetView workbookViewId="0">
      <selection activeCell="E18" sqref="E18"/>
    </sheetView>
  </sheetViews>
  <sheetFormatPr defaultRowHeight="14.25" x14ac:dyDescent="0.45"/>
  <cols>
    <col min="1" max="1" width="44.53125" customWidth="1"/>
    <col min="2" max="2" width="26.46484375" bestFit="1" customWidth="1"/>
    <col min="3" max="3" width="21.6640625" bestFit="1" customWidth="1"/>
    <col min="4" max="5" width="21.6640625" customWidth="1"/>
    <col min="6" max="6" width="32.1328125" bestFit="1" customWidth="1"/>
    <col min="7" max="7" width="28.6640625" bestFit="1" customWidth="1"/>
    <col min="8" max="9" width="32.1328125" customWidth="1"/>
    <col min="10" max="10" width="32.1328125" bestFit="1" customWidth="1"/>
    <col min="11" max="11" width="20.1328125" bestFit="1" customWidth="1"/>
  </cols>
  <sheetData>
    <row r="1" spans="1:11" x14ac:dyDescent="0.45">
      <c r="A1" t="s">
        <v>17</v>
      </c>
      <c r="B1" s="8" t="s">
        <v>0</v>
      </c>
      <c r="C1" s="8" t="s">
        <v>1</v>
      </c>
      <c r="D1" s="8" t="s">
        <v>14</v>
      </c>
      <c r="E1" s="8" t="s">
        <v>15</v>
      </c>
      <c r="F1" t="s">
        <v>2</v>
      </c>
      <c r="G1" t="s">
        <v>3</v>
      </c>
      <c r="H1" t="s">
        <v>14</v>
      </c>
      <c r="I1" t="s">
        <v>15</v>
      </c>
      <c r="J1" t="s">
        <v>4</v>
      </c>
      <c r="K1" t="s">
        <v>5</v>
      </c>
    </row>
    <row r="2" spans="1:11" x14ac:dyDescent="0.45">
      <c r="A2">
        <v>0</v>
      </c>
      <c r="B2">
        <v>7</v>
      </c>
      <c r="C2">
        <v>0.56999999999999995</v>
      </c>
      <c r="D2" s="6">
        <v>1</v>
      </c>
      <c r="E2" s="6">
        <f>1-D2</f>
        <v>0</v>
      </c>
      <c r="F2">
        <v>0.08</v>
      </c>
      <c r="G2">
        <v>7.0000000000000001E-3</v>
      </c>
      <c r="H2" s="6">
        <v>1</v>
      </c>
      <c r="I2" s="6">
        <f>1-H2</f>
        <v>0</v>
      </c>
      <c r="J2">
        <v>2.1800000000000002</v>
      </c>
      <c r="K2">
        <v>0.24</v>
      </c>
    </row>
    <row r="3" spans="1:11" x14ac:dyDescent="0.45">
      <c r="A3">
        <v>20</v>
      </c>
      <c r="B3">
        <v>6</v>
      </c>
      <c r="C3">
        <v>0.18</v>
      </c>
      <c r="D3" s="6">
        <f>1-($B$2-B3)/$B$2</f>
        <v>0.85714285714285721</v>
      </c>
      <c r="E3" s="6">
        <f t="shared" ref="E3:E6" si="0">1-D3</f>
        <v>0.14285714285714279</v>
      </c>
      <c r="F3">
        <v>0.08</v>
      </c>
      <c r="G3">
        <v>8.9999999999999993E-3</v>
      </c>
      <c r="H3" s="6">
        <f>1-($F$2-F3)/$F$2</f>
        <v>1</v>
      </c>
      <c r="I3" s="6">
        <f t="shared" ref="I3:I6" si="1">1-H3</f>
        <v>0</v>
      </c>
      <c r="J3">
        <v>1.68</v>
      </c>
      <c r="K3">
        <v>0.23</v>
      </c>
    </row>
    <row r="4" spans="1:11" x14ac:dyDescent="0.45">
      <c r="A4">
        <v>25</v>
      </c>
      <c r="B4">
        <v>5.0999999999999996</v>
      </c>
      <c r="C4">
        <v>0.08</v>
      </c>
      <c r="D4" s="6">
        <f>1-($B$2-B4)/$B$2</f>
        <v>0.72857142857142854</v>
      </c>
      <c r="E4" s="6">
        <f t="shared" si="0"/>
        <v>0.27142857142857146</v>
      </c>
      <c r="F4">
        <v>7.0000000000000007E-2</v>
      </c>
      <c r="G4">
        <v>0.01</v>
      </c>
      <c r="H4" s="6">
        <f t="shared" ref="H4:H6" si="2">1-($F$2-F4)/$F$2</f>
        <v>0.87500000000000011</v>
      </c>
      <c r="I4" s="6">
        <f t="shared" si="1"/>
        <v>0.12499999999999989</v>
      </c>
      <c r="J4">
        <v>1.69</v>
      </c>
      <c r="K4">
        <v>0.25</v>
      </c>
    </row>
    <row r="5" spans="1:11" x14ac:dyDescent="0.45">
      <c r="A5">
        <v>30</v>
      </c>
      <c r="B5">
        <v>4.8</v>
      </c>
      <c r="C5">
        <v>0.3</v>
      </c>
      <c r="D5" s="6">
        <f>1-($B$2-B5)/$B$2</f>
        <v>0.68571428571428572</v>
      </c>
      <c r="E5" s="6">
        <f t="shared" si="0"/>
        <v>0.31428571428571428</v>
      </c>
      <c r="F5">
        <v>0.05</v>
      </c>
      <c r="G5">
        <v>3.0000000000000001E-3</v>
      </c>
      <c r="H5" s="6">
        <f t="shared" si="2"/>
        <v>0.625</v>
      </c>
      <c r="I5" s="6">
        <f t="shared" si="1"/>
        <v>0.375</v>
      </c>
      <c r="J5">
        <v>1.22</v>
      </c>
      <c r="K5">
        <v>0.08</v>
      </c>
    </row>
    <row r="6" spans="1:11" x14ac:dyDescent="0.45">
      <c r="A6">
        <v>35</v>
      </c>
      <c r="B6">
        <v>4</v>
      </c>
      <c r="C6">
        <v>0.63</v>
      </c>
      <c r="D6" s="6">
        <f>1-($B$2-B6)/$B$2</f>
        <v>0.5714285714285714</v>
      </c>
      <c r="E6" s="6">
        <f t="shared" si="0"/>
        <v>0.4285714285714286</v>
      </c>
      <c r="F6">
        <v>0.05</v>
      </c>
      <c r="G6">
        <v>3.0000000000000001E-3</v>
      </c>
      <c r="H6" s="6">
        <f t="shared" si="2"/>
        <v>0.625</v>
      </c>
      <c r="I6" s="6">
        <f t="shared" si="1"/>
        <v>0.375</v>
      </c>
      <c r="J6">
        <v>1.2</v>
      </c>
      <c r="K6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1305-A9F1-4CBD-97D5-E3BBC3914A4F}">
  <dimension ref="A1"/>
  <sheetViews>
    <sheetView workbookViewId="0">
      <selection activeCell="E11" sqref="E11"/>
    </sheetView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F77E-8971-4EF4-9E6E-8FC73109F299}">
  <dimension ref="A1:O14"/>
  <sheetViews>
    <sheetView workbookViewId="0">
      <selection activeCell="C11" sqref="C11:C14"/>
    </sheetView>
  </sheetViews>
  <sheetFormatPr defaultRowHeight="14.25" x14ac:dyDescent="0.45"/>
  <cols>
    <col min="1" max="1" width="13.46484375" customWidth="1"/>
    <col min="2" max="2" width="42.53125" customWidth="1"/>
    <col min="3" max="3" width="13.33203125" customWidth="1"/>
    <col min="4" max="4" width="11.1328125" customWidth="1"/>
    <col min="5" max="5" width="12.53125" customWidth="1"/>
    <col min="6" max="6" width="13.53125" customWidth="1"/>
    <col min="7" max="7" width="23.86328125" bestFit="1" customWidth="1"/>
    <col min="8" max="8" width="25.33203125" bestFit="1" customWidth="1"/>
    <col min="9" max="10" width="21.53125" bestFit="1" customWidth="1"/>
    <col min="14" max="14" width="15" customWidth="1"/>
    <col min="15" max="15" width="22.53125" bestFit="1" customWidth="1"/>
  </cols>
  <sheetData>
    <row r="1" spans="1:15" ht="14.65" thickBot="1" x14ac:dyDescent="0.5">
      <c r="A1" s="4" t="s">
        <v>12</v>
      </c>
      <c r="B1" s="5"/>
      <c r="C1" s="5"/>
      <c r="D1" s="5"/>
      <c r="E1" s="5"/>
      <c r="F1" s="5"/>
    </row>
    <row r="2" spans="1:15" ht="33.4" thickBot="1" x14ac:dyDescent="0.5">
      <c r="A2" s="1" t="s">
        <v>6</v>
      </c>
      <c r="B2" s="1" t="s">
        <v>11</v>
      </c>
      <c r="C2" s="1" t="s">
        <v>7</v>
      </c>
      <c r="D2" s="1" t="s">
        <v>8</v>
      </c>
      <c r="E2" s="1" t="s">
        <v>9</v>
      </c>
      <c r="F2" s="1" t="s">
        <v>10</v>
      </c>
      <c r="G2" s="7" t="str">
        <f>CONCATENATE("Percent_Baseline_",C2)</f>
        <v>Percent_Baseline_Apache</v>
      </c>
      <c r="H2" s="7" t="str">
        <f>CONCATENATE("Percent_Baseline_",D2)</f>
        <v>Percent_Baseline_Riverside</v>
      </c>
      <c r="I2" s="7" t="str">
        <f>CONCATENATE("Percent_Baseline_",E2)</f>
        <v>Percent_Baseline_SVA1</v>
      </c>
      <c r="J2" s="7" t="str">
        <f>CONCATENATE("Percent_Baseline_",F2)</f>
        <v>Percent_Baseline_SVA2</v>
      </c>
      <c r="K2" s="7" t="str">
        <f>CONCATENATE("Percent_Reduction_",G2)</f>
        <v>Percent_Reduction_Percent_Baseline_Apache</v>
      </c>
      <c r="L2" s="7" t="str">
        <f>CONCATENATE("Percent_Reduction_",H2)</f>
        <v>Percent_Reduction_Percent_Baseline_Riverside</v>
      </c>
      <c r="M2" s="7" t="str">
        <f>CONCATENATE("Percent_Reduction_",I2)</f>
        <v>Percent_Reduction_Percent_Baseline_SVA1</v>
      </c>
      <c r="N2" s="7" t="str">
        <f>CONCATENATE("Percent_Reduction_",J2)</f>
        <v>Percent_Reduction_Percent_Baseline_SVA2</v>
      </c>
      <c r="O2" s="9" t="s">
        <v>16</v>
      </c>
    </row>
    <row r="3" spans="1:15" ht="16.899999999999999" thickBot="1" x14ac:dyDescent="0.5">
      <c r="A3" s="2">
        <v>0.08</v>
      </c>
      <c r="B3" s="2">
        <f>A3*10</f>
        <v>0.8</v>
      </c>
      <c r="C3" s="2">
        <v>2.12E-2</v>
      </c>
      <c r="D3" s="2">
        <v>3.3300000000000003E-2</v>
      </c>
      <c r="E3" s="2">
        <v>1.7899999999999999E-2</v>
      </c>
      <c r="F3" s="2">
        <v>3.3599999999999998E-2</v>
      </c>
      <c r="G3">
        <f>1</f>
        <v>1</v>
      </c>
      <c r="H3">
        <f>1</f>
        <v>1</v>
      </c>
      <c r="I3">
        <f>1</f>
        <v>1</v>
      </c>
      <c r="J3">
        <f>1</f>
        <v>1</v>
      </c>
      <c r="K3">
        <f>1-G3</f>
        <v>0</v>
      </c>
      <c r="L3">
        <f t="shared" ref="L3:N6" si="0">1-H3</f>
        <v>0</v>
      </c>
      <c r="M3">
        <f t="shared" si="0"/>
        <v>0</v>
      </c>
      <c r="N3">
        <f t="shared" si="0"/>
        <v>0</v>
      </c>
      <c r="O3" s="6">
        <f>AVERAGE(K3:N3)</f>
        <v>0</v>
      </c>
    </row>
    <row r="4" spans="1:15" ht="16.899999999999999" thickBot="1" x14ac:dyDescent="0.5">
      <c r="A4" s="2">
        <v>2.5</v>
      </c>
      <c r="B4" s="2">
        <f t="shared" ref="B4:B6" si="1">A4*10</f>
        <v>25</v>
      </c>
      <c r="C4" s="2">
        <v>2.8500000000000001E-2</v>
      </c>
      <c r="D4" s="2">
        <v>1.49E-2</v>
      </c>
      <c r="E4" s="2">
        <v>1.41E-2</v>
      </c>
      <c r="F4" s="2">
        <v>2.75E-2</v>
      </c>
      <c r="G4" s="6">
        <f>MIN(1,1-(C$3-C4)/C$3)</f>
        <v>1</v>
      </c>
      <c r="H4" s="6">
        <f t="shared" ref="H4:J6" si="2">MIN(1,1-(D$3-D4)/D$3)</f>
        <v>0.44744744744744736</v>
      </c>
      <c r="I4" s="6">
        <f t="shared" si="2"/>
        <v>0.78770949720670391</v>
      </c>
      <c r="J4" s="6">
        <f t="shared" si="2"/>
        <v>0.81845238095238104</v>
      </c>
      <c r="K4" s="6">
        <f>1-G4</f>
        <v>0</v>
      </c>
      <c r="L4" s="6">
        <f t="shared" si="0"/>
        <v>0.55255255255255264</v>
      </c>
      <c r="M4" s="6">
        <f t="shared" si="0"/>
        <v>0.21229050279329609</v>
      </c>
      <c r="N4" s="6">
        <f t="shared" si="0"/>
        <v>0.18154761904761896</v>
      </c>
      <c r="O4" s="6">
        <f t="shared" ref="O4:O5" si="3">AVERAGE(K4:N4)</f>
        <v>0.23659766859836692</v>
      </c>
    </row>
    <row r="5" spans="1:15" ht="16.899999999999999" thickBot="1" x14ac:dyDescent="0.5">
      <c r="A5" s="2">
        <v>3</v>
      </c>
      <c r="B5" s="2">
        <f t="shared" si="1"/>
        <v>30</v>
      </c>
      <c r="C5" s="2">
        <v>1.8100000000000002E-2</v>
      </c>
      <c r="D5" s="2">
        <v>8.3000000000000001E-3</v>
      </c>
      <c r="E5" s="2">
        <v>9.7000000000000003E-3</v>
      </c>
      <c r="F5" s="2">
        <v>1.61E-2</v>
      </c>
      <c r="G5" s="6">
        <f t="shared" ref="G5:G6" si="4">MIN(1,1-(C$3-C5)/C$3)</f>
        <v>0.85377358490566047</v>
      </c>
      <c r="H5" s="6">
        <f t="shared" si="2"/>
        <v>0.24924924924924929</v>
      </c>
      <c r="I5" s="6">
        <f t="shared" si="2"/>
        <v>0.54189944134078216</v>
      </c>
      <c r="J5" s="6">
        <f t="shared" si="2"/>
        <v>0.47916666666666674</v>
      </c>
      <c r="K5" s="6">
        <f>1-G5</f>
        <v>0.14622641509433953</v>
      </c>
      <c r="L5" s="6">
        <f t="shared" si="0"/>
        <v>0.75075075075075071</v>
      </c>
      <c r="M5" s="6">
        <f t="shared" si="0"/>
        <v>0.45810055865921784</v>
      </c>
      <c r="N5" s="6">
        <f t="shared" si="0"/>
        <v>0.52083333333333326</v>
      </c>
      <c r="O5" s="6">
        <f t="shared" si="3"/>
        <v>0.46897776445941036</v>
      </c>
    </row>
    <row r="6" spans="1:15" ht="16.899999999999999" thickBot="1" x14ac:dyDescent="0.5">
      <c r="A6" s="2">
        <v>3.5</v>
      </c>
      <c r="B6" s="2">
        <f t="shared" si="1"/>
        <v>35</v>
      </c>
      <c r="C6" s="2">
        <v>9.9000000000000008E-3</v>
      </c>
      <c r="D6" s="2">
        <v>7.1999999999999998E-3</v>
      </c>
      <c r="E6" s="2">
        <v>6.3E-3</v>
      </c>
      <c r="F6" s="3">
        <v>1.4800000000000001E-2</v>
      </c>
      <c r="G6" s="6">
        <f t="shared" si="4"/>
        <v>0.46698113207547176</v>
      </c>
      <c r="H6" s="6">
        <f t="shared" si="2"/>
        <v>0.21621621621621612</v>
      </c>
      <c r="I6" s="6">
        <f t="shared" si="2"/>
        <v>0.35195530726256985</v>
      </c>
      <c r="J6" s="6">
        <f t="shared" si="2"/>
        <v>0.44047619047619058</v>
      </c>
      <c r="K6" s="6">
        <f>1-G6</f>
        <v>0.53301886792452824</v>
      </c>
      <c r="L6" s="6">
        <f t="shared" si="0"/>
        <v>0.78378378378378388</v>
      </c>
      <c r="M6" s="6">
        <f t="shared" si="0"/>
        <v>0.64804469273743015</v>
      </c>
      <c r="N6" s="6">
        <f t="shared" si="0"/>
        <v>0.55952380952380942</v>
      </c>
      <c r="O6" s="6">
        <f>AVERAGE(K6:N6)</f>
        <v>0.63109278849238792</v>
      </c>
    </row>
    <row r="9" spans="1:15" ht="14.65" thickBot="1" x14ac:dyDescent="0.5">
      <c r="A9" s="4" t="s">
        <v>13</v>
      </c>
      <c r="B9" s="5"/>
      <c r="C9" s="5"/>
      <c r="D9" s="5"/>
      <c r="E9" s="5"/>
      <c r="F9" s="5"/>
    </row>
    <row r="10" spans="1:15" ht="33.4" thickBot="1" x14ac:dyDescent="0.5">
      <c r="A10" s="1" t="s">
        <v>6</v>
      </c>
      <c r="B10" s="1" t="s">
        <v>11</v>
      </c>
      <c r="C10" s="1" t="s">
        <v>7</v>
      </c>
      <c r="D10" s="1" t="s">
        <v>8</v>
      </c>
      <c r="E10" s="1" t="s">
        <v>9</v>
      </c>
      <c r="F10" s="1" t="s">
        <v>10</v>
      </c>
      <c r="G10" s="7" t="str">
        <f>CONCATENATE("Percent_Baseline_",C10)</f>
        <v>Percent_Baseline_Apache</v>
      </c>
      <c r="H10" s="7" t="str">
        <f>CONCATENATE("Percent_Baseline_",D10)</f>
        <v>Percent_Baseline_Riverside</v>
      </c>
      <c r="I10" s="7" t="str">
        <f>CONCATENATE("Percent_Baseline_",E10)</f>
        <v>Percent_Baseline_SVA1</v>
      </c>
      <c r="J10" s="7" t="str">
        <f>CONCATENATE("Percent_Baseline_",F10)</f>
        <v>Percent_Baseline_SVA2</v>
      </c>
      <c r="K10" s="7" t="str">
        <f>CONCATENATE("Percent_Reduction_",G10)</f>
        <v>Percent_Reduction_Percent_Baseline_Apache</v>
      </c>
      <c r="L10" s="7" t="str">
        <f>CONCATENATE("Percent_Reduction_",H10)</f>
        <v>Percent_Reduction_Percent_Baseline_Riverside</v>
      </c>
      <c r="M10" s="7" t="str">
        <f>CONCATENATE("Percent_Reduction_",I10)</f>
        <v>Percent_Reduction_Percent_Baseline_SVA1</v>
      </c>
      <c r="N10" s="7" t="str">
        <f>CONCATENATE("Percent_Reduction_",J10)</f>
        <v>Percent_Reduction_Percent_Baseline_SVA2</v>
      </c>
    </row>
    <row r="11" spans="1:15" ht="16.899999999999999" thickBot="1" x14ac:dyDescent="0.5">
      <c r="A11" s="2">
        <v>0.08</v>
      </c>
      <c r="B11">
        <f>A11*10</f>
        <v>0.8</v>
      </c>
      <c r="C11" s="2">
        <v>5.2</v>
      </c>
      <c r="D11" s="2">
        <v>5.3</v>
      </c>
      <c r="E11" s="2">
        <v>5.2</v>
      </c>
      <c r="F11" s="2">
        <v>4.3</v>
      </c>
      <c r="G11">
        <f>1</f>
        <v>1</v>
      </c>
      <c r="H11">
        <f>1</f>
        <v>1</v>
      </c>
      <c r="I11">
        <f>1</f>
        <v>1</v>
      </c>
      <c r="J11">
        <f>1</f>
        <v>1</v>
      </c>
      <c r="K11">
        <f>1-G11</f>
        <v>0</v>
      </c>
      <c r="L11">
        <f t="shared" ref="L11:N14" si="5">1-H11</f>
        <v>0</v>
      </c>
      <c r="M11">
        <f t="shared" si="5"/>
        <v>0</v>
      </c>
      <c r="N11">
        <f t="shared" si="5"/>
        <v>0</v>
      </c>
    </row>
    <row r="12" spans="1:15" ht="16.899999999999999" thickBot="1" x14ac:dyDescent="0.5">
      <c r="A12" s="2">
        <v>2.5</v>
      </c>
      <c r="B12">
        <f t="shared" ref="B12:B14" si="6">A12*10</f>
        <v>25</v>
      </c>
      <c r="C12" s="2">
        <v>3.7</v>
      </c>
      <c r="D12" s="2">
        <v>4.3</v>
      </c>
      <c r="E12" s="2">
        <v>4.7</v>
      </c>
      <c r="F12" s="2">
        <v>4</v>
      </c>
      <c r="G12" s="6">
        <f>MIN(1,1-(C$11-C12)/C$11)</f>
        <v>0.71153846153846156</v>
      </c>
      <c r="H12" s="6">
        <f t="shared" ref="H12:J14" si="7">MIN(1,1-(D$11-D12)/D$11)</f>
        <v>0.81132075471698117</v>
      </c>
      <c r="I12" s="6">
        <f t="shared" si="7"/>
        <v>0.90384615384615385</v>
      </c>
      <c r="J12" s="6">
        <f t="shared" si="7"/>
        <v>0.93023255813953498</v>
      </c>
      <c r="K12" s="6">
        <f>1-G12</f>
        <v>0.28846153846153844</v>
      </c>
      <c r="L12" s="6">
        <f t="shared" si="5"/>
        <v>0.18867924528301883</v>
      </c>
      <c r="M12" s="6">
        <f t="shared" si="5"/>
        <v>9.6153846153846145E-2</v>
      </c>
      <c r="N12" s="6">
        <f t="shared" si="5"/>
        <v>6.9767441860465018E-2</v>
      </c>
    </row>
    <row r="13" spans="1:15" ht="16.899999999999999" thickBot="1" x14ac:dyDescent="0.5">
      <c r="A13" s="2">
        <v>3</v>
      </c>
      <c r="B13">
        <f t="shared" si="6"/>
        <v>30</v>
      </c>
      <c r="C13" s="2">
        <v>2.6</v>
      </c>
      <c r="D13" s="2">
        <v>3.7</v>
      </c>
      <c r="E13" s="2">
        <v>3.9</v>
      </c>
      <c r="F13" s="2">
        <v>2.7</v>
      </c>
      <c r="G13" s="6">
        <f t="shared" ref="G13:G14" si="8">MIN(1,1-(C$11-C13)/C$11)</f>
        <v>0.5</v>
      </c>
      <c r="H13" s="6">
        <f t="shared" si="7"/>
        <v>0.69811320754716988</v>
      </c>
      <c r="I13" s="6">
        <f t="shared" si="7"/>
        <v>0.75</v>
      </c>
      <c r="J13" s="6">
        <f t="shared" si="7"/>
        <v>0.62790697674418605</v>
      </c>
      <c r="K13" s="6">
        <f>1-G13</f>
        <v>0.5</v>
      </c>
      <c r="L13" s="6">
        <f t="shared" si="5"/>
        <v>0.30188679245283012</v>
      </c>
      <c r="M13" s="6">
        <f t="shared" si="5"/>
        <v>0.25</v>
      </c>
      <c r="N13" s="6">
        <f t="shared" si="5"/>
        <v>0.37209302325581395</v>
      </c>
    </row>
    <row r="14" spans="1:15" ht="16.899999999999999" thickBot="1" x14ac:dyDescent="0.5">
      <c r="A14" s="2">
        <v>3.5</v>
      </c>
      <c r="B14">
        <f t="shared" si="6"/>
        <v>35</v>
      </c>
      <c r="C14" s="2">
        <v>1.8</v>
      </c>
      <c r="D14" s="2">
        <v>3.7</v>
      </c>
      <c r="E14" s="2">
        <v>2.9</v>
      </c>
      <c r="F14" s="2">
        <v>2.6</v>
      </c>
      <c r="G14" s="6">
        <f t="shared" si="8"/>
        <v>0.34615384615384615</v>
      </c>
      <c r="H14" s="6">
        <f t="shared" si="7"/>
        <v>0.69811320754716988</v>
      </c>
      <c r="I14" s="6">
        <f t="shared" si="7"/>
        <v>0.55769230769230771</v>
      </c>
      <c r="J14" s="6">
        <f t="shared" si="7"/>
        <v>0.60465116279069764</v>
      </c>
      <c r="K14" s="6">
        <f>1-G14</f>
        <v>0.65384615384615385</v>
      </c>
      <c r="L14" s="6">
        <f t="shared" si="5"/>
        <v>0.30188679245283012</v>
      </c>
      <c r="M14" s="6">
        <f t="shared" si="5"/>
        <v>0.44230769230769229</v>
      </c>
      <c r="N14" s="6">
        <f t="shared" si="5"/>
        <v>0.39534883720930236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E9B4-D73D-4753-8A38-3A7E2D9F62D5}">
  <dimension ref="A2:G22"/>
  <sheetViews>
    <sheetView workbookViewId="0">
      <selection activeCell="E5" sqref="E5"/>
    </sheetView>
  </sheetViews>
  <sheetFormatPr defaultRowHeight="14.25" x14ac:dyDescent="0.45"/>
  <cols>
    <col min="2" max="2" width="27.86328125" customWidth="1"/>
    <col min="3" max="3" width="30.1328125" customWidth="1"/>
    <col min="4" max="4" width="53.1328125" customWidth="1"/>
    <col min="5" max="5" width="29.6640625" bestFit="1" customWidth="1"/>
    <col min="6" max="6" width="48.6640625" customWidth="1"/>
    <col min="7" max="7" width="38.796875" bestFit="1" customWidth="1"/>
  </cols>
  <sheetData>
    <row r="2" spans="1:7" x14ac:dyDescent="0.45">
      <c r="B2" s="12" t="s">
        <v>34</v>
      </c>
    </row>
    <row r="3" spans="1:7" x14ac:dyDescent="0.45">
      <c r="B3" t="s">
        <v>18</v>
      </c>
    </row>
    <row r="4" spans="1:7" x14ac:dyDescent="0.45">
      <c r="B4" t="s">
        <v>19</v>
      </c>
    </row>
    <row r="5" spans="1:7" x14ac:dyDescent="0.45">
      <c r="B5">
        <v>2000</v>
      </c>
    </row>
    <row r="7" spans="1:7" x14ac:dyDescent="0.45">
      <c r="C7" s="12" t="s">
        <v>21</v>
      </c>
      <c r="D7" s="12" t="s">
        <v>24</v>
      </c>
      <c r="E7" s="12" t="s">
        <v>25</v>
      </c>
      <c r="F7" s="12" t="s">
        <v>26</v>
      </c>
      <c r="G7" s="12" t="s">
        <v>27</v>
      </c>
    </row>
    <row r="8" spans="1:7" x14ac:dyDescent="0.45">
      <c r="B8" t="s">
        <v>20</v>
      </c>
      <c r="C8">
        <v>5.9</v>
      </c>
    </row>
    <row r="9" spans="1:7" x14ac:dyDescent="0.45">
      <c r="B9" t="s">
        <v>22</v>
      </c>
      <c r="C9">
        <v>9.1999999999999993</v>
      </c>
    </row>
    <row r="10" spans="1:7" x14ac:dyDescent="0.45">
      <c r="B10" s="12" t="s">
        <v>23</v>
      </c>
      <c r="C10" s="10">
        <f>AVERAGE(C8:C9)</f>
        <v>7.55</v>
      </c>
      <c r="D10">
        <f>0.008*(100^2)</f>
        <v>80</v>
      </c>
      <c r="E10">
        <f>C10*D10/1000000</f>
        <v>6.0400000000000004E-4</v>
      </c>
      <c r="F10">
        <f>0.0504/1000</f>
        <v>5.0399999999999999E-5</v>
      </c>
      <c r="G10">
        <f>(D10/(100^2))*F10</f>
        <v>4.0320000000000001E-7</v>
      </c>
    </row>
    <row r="12" spans="1:7" x14ac:dyDescent="0.45">
      <c r="B12" s="12" t="s">
        <v>35</v>
      </c>
    </row>
    <row r="14" spans="1:7" x14ac:dyDescent="0.45">
      <c r="B14" s="12" t="s">
        <v>36</v>
      </c>
      <c r="C14" s="12" t="s">
        <v>28</v>
      </c>
      <c r="D14" s="12" t="s">
        <v>29</v>
      </c>
      <c r="E14" s="12" t="s">
        <v>30</v>
      </c>
      <c r="F14" s="12" t="s">
        <v>33</v>
      </c>
    </row>
    <row r="15" spans="1:7" x14ac:dyDescent="0.45">
      <c r="A15" s="12" t="s">
        <v>31</v>
      </c>
      <c r="B15" s="12">
        <f>0.08*10</f>
        <v>0.8</v>
      </c>
      <c r="C15">
        <v>420</v>
      </c>
      <c r="D15">
        <f t="shared" ref="D15:D22" si="0">C15*$E$10</f>
        <v>0.25368000000000002</v>
      </c>
      <c r="E15">
        <f t="shared" ref="E15:E20" si="1">D15/58400</f>
        <v>4.3438356164383568E-6</v>
      </c>
      <c r="F15" s="11">
        <f t="shared" ref="F15:F22" si="2">E15/$G$10</f>
        <v>10.773401826484019</v>
      </c>
    </row>
    <row r="16" spans="1:7" x14ac:dyDescent="0.45">
      <c r="A16" s="12" t="s">
        <v>32</v>
      </c>
      <c r="B16" s="12">
        <f>0.08*10</f>
        <v>0.8</v>
      </c>
      <c r="C16">
        <v>180</v>
      </c>
      <c r="D16">
        <f t="shared" si="0"/>
        <v>0.10872000000000001</v>
      </c>
      <c r="E16">
        <f t="shared" si="1"/>
        <v>1.8616438356164386E-6</v>
      </c>
      <c r="F16" s="11">
        <f t="shared" si="2"/>
        <v>4.6171722113502938</v>
      </c>
    </row>
    <row r="17" spans="1:6" x14ac:dyDescent="0.45">
      <c r="A17" s="12" t="s">
        <v>31</v>
      </c>
      <c r="B17" s="12">
        <f>25</f>
        <v>25</v>
      </c>
      <c r="C17">
        <v>950</v>
      </c>
      <c r="D17">
        <f t="shared" si="0"/>
        <v>0.57380000000000009</v>
      </c>
      <c r="E17">
        <f t="shared" si="1"/>
        <v>9.8253424657534265E-6</v>
      </c>
      <c r="F17" s="11">
        <f t="shared" si="2"/>
        <v>24.368408893237664</v>
      </c>
    </row>
    <row r="18" spans="1:6" x14ac:dyDescent="0.45">
      <c r="A18" s="12" t="s">
        <v>32</v>
      </c>
      <c r="B18" s="12">
        <f>25</f>
        <v>25</v>
      </c>
      <c r="C18">
        <v>370</v>
      </c>
      <c r="D18">
        <f t="shared" si="0"/>
        <v>0.22348000000000001</v>
      </c>
      <c r="E18">
        <f t="shared" si="1"/>
        <v>3.8267123287671238E-6</v>
      </c>
      <c r="F18" s="11">
        <f t="shared" si="2"/>
        <v>9.4908539899978273</v>
      </c>
    </row>
    <row r="19" spans="1:6" x14ac:dyDescent="0.45">
      <c r="A19" s="12" t="s">
        <v>31</v>
      </c>
      <c r="B19" s="12">
        <f>30</f>
        <v>30</v>
      </c>
      <c r="C19">
        <v>1060</v>
      </c>
      <c r="D19">
        <f t="shared" si="0"/>
        <v>0.64024000000000003</v>
      </c>
      <c r="E19">
        <f t="shared" si="1"/>
        <v>1.0963013698630138E-5</v>
      </c>
      <c r="F19" s="11">
        <f t="shared" si="2"/>
        <v>27.190014133507287</v>
      </c>
    </row>
    <row r="20" spans="1:6" x14ac:dyDescent="0.45">
      <c r="A20" s="12" t="s">
        <v>32</v>
      </c>
      <c r="B20" s="12">
        <f>30</f>
        <v>30</v>
      </c>
      <c r="C20">
        <v>490</v>
      </c>
      <c r="D20">
        <f t="shared" si="0"/>
        <v>0.29596</v>
      </c>
      <c r="E20">
        <f t="shared" si="1"/>
        <v>5.0678082191780822E-6</v>
      </c>
      <c r="F20" s="11">
        <f t="shared" si="2"/>
        <v>12.568968797564688</v>
      </c>
    </row>
    <row r="21" spans="1:6" x14ac:dyDescent="0.45">
      <c r="A21" s="12" t="s">
        <v>31</v>
      </c>
      <c r="B21" s="12">
        <f>35</f>
        <v>35</v>
      </c>
      <c r="C21">
        <f>1350</f>
        <v>1350</v>
      </c>
      <c r="D21">
        <f t="shared" si="0"/>
        <v>0.81540000000000001</v>
      </c>
      <c r="E21">
        <f>D21/58400</f>
        <v>1.3962328767123288E-5</v>
      </c>
      <c r="F21" s="11">
        <f t="shared" si="2"/>
        <v>34.628791585127203</v>
      </c>
    </row>
    <row r="22" spans="1:6" x14ac:dyDescent="0.45">
      <c r="A22" s="12" t="s">
        <v>32</v>
      </c>
      <c r="B22" s="12">
        <v>35</v>
      </c>
      <c r="C22">
        <v>750</v>
      </c>
      <c r="D22">
        <f t="shared" si="0"/>
        <v>0.45300000000000001</v>
      </c>
      <c r="E22">
        <f>D22/58400</f>
        <v>7.7568493150684931E-6</v>
      </c>
      <c r="F22" s="11">
        <f t="shared" si="2"/>
        <v>19.238217547292891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19C1-A04A-491D-9968-DEDC95C2A8FF}">
  <dimension ref="A1:L99"/>
  <sheetViews>
    <sheetView tabSelected="1" topLeftCell="F4" workbookViewId="0">
      <selection activeCell="N8" sqref="N8"/>
    </sheetView>
  </sheetViews>
  <sheetFormatPr defaultRowHeight="14.25" x14ac:dyDescent="0.45"/>
  <cols>
    <col min="5" max="5" width="12.1328125" customWidth="1"/>
  </cols>
  <sheetData>
    <row r="1" spans="1:12" x14ac:dyDescent="0.45">
      <c r="A1" t="s">
        <v>37</v>
      </c>
    </row>
    <row r="2" spans="1:12" x14ac:dyDescent="0.45">
      <c r="A2" t="s">
        <v>38</v>
      </c>
    </row>
    <row r="3" spans="1:12" x14ac:dyDescent="0.4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</row>
    <row r="4" spans="1:12" x14ac:dyDescent="0.45">
      <c r="A4" t="s">
        <v>7</v>
      </c>
      <c r="B4">
        <v>0.08</v>
      </c>
      <c r="C4" t="s">
        <v>51</v>
      </c>
      <c r="D4" t="s">
        <v>52</v>
      </c>
      <c r="E4">
        <v>163.99</v>
      </c>
      <c r="F4">
        <v>90.04</v>
      </c>
      <c r="G4" t="s">
        <v>53</v>
      </c>
      <c r="H4" t="s">
        <v>54</v>
      </c>
      <c r="I4">
        <v>1</v>
      </c>
      <c r="J4" t="s">
        <v>55</v>
      </c>
      <c r="K4">
        <v>5</v>
      </c>
      <c r="L4" t="s">
        <v>56</v>
      </c>
    </row>
    <row r="5" spans="1:12" x14ac:dyDescent="0.45">
      <c r="A5" t="s">
        <v>7</v>
      </c>
      <c r="B5">
        <v>2.5</v>
      </c>
      <c r="C5" t="s">
        <v>51</v>
      </c>
      <c r="D5" t="s">
        <v>52</v>
      </c>
      <c r="E5">
        <v>317.24</v>
      </c>
      <c r="F5">
        <v>90.04</v>
      </c>
      <c r="G5" t="s">
        <v>53</v>
      </c>
      <c r="H5" t="s">
        <v>54</v>
      </c>
      <c r="I5">
        <v>1</v>
      </c>
      <c r="J5" t="s">
        <v>55</v>
      </c>
      <c r="K5">
        <v>5</v>
      </c>
      <c r="L5" t="s">
        <v>56</v>
      </c>
    </row>
    <row r="6" spans="1:12" x14ac:dyDescent="0.45">
      <c r="A6" t="s">
        <v>7</v>
      </c>
      <c r="B6">
        <v>3</v>
      </c>
      <c r="C6" t="s">
        <v>51</v>
      </c>
      <c r="D6" t="s">
        <v>52</v>
      </c>
      <c r="E6">
        <v>443.68</v>
      </c>
      <c r="F6">
        <v>91.95</v>
      </c>
      <c r="G6" t="s">
        <v>53</v>
      </c>
      <c r="H6" t="s">
        <v>54</v>
      </c>
      <c r="I6">
        <v>1</v>
      </c>
      <c r="J6" t="s">
        <v>55</v>
      </c>
      <c r="K6">
        <v>5</v>
      </c>
      <c r="L6" t="s">
        <v>56</v>
      </c>
    </row>
    <row r="7" spans="1:12" x14ac:dyDescent="0.45">
      <c r="A7" t="s">
        <v>7</v>
      </c>
      <c r="B7">
        <v>3.5</v>
      </c>
      <c r="C7" t="s">
        <v>51</v>
      </c>
      <c r="D7" t="s">
        <v>52</v>
      </c>
      <c r="E7">
        <v>665.9</v>
      </c>
      <c r="F7">
        <v>90.04</v>
      </c>
      <c r="G7" t="s">
        <v>53</v>
      </c>
      <c r="H7" t="s">
        <v>54</v>
      </c>
      <c r="I7">
        <v>1</v>
      </c>
      <c r="J7" t="s">
        <v>55</v>
      </c>
      <c r="K7">
        <v>5</v>
      </c>
      <c r="L7" t="s">
        <v>56</v>
      </c>
    </row>
    <row r="8" spans="1:12" x14ac:dyDescent="0.45">
      <c r="A8" t="s">
        <v>7</v>
      </c>
      <c r="B8">
        <v>0.08</v>
      </c>
      <c r="C8" t="s">
        <v>57</v>
      </c>
      <c r="D8" t="s">
        <v>52</v>
      </c>
      <c r="E8">
        <v>397.23</v>
      </c>
      <c r="F8">
        <v>84.34</v>
      </c>
      <c r="G8" t="s">
        <v>53</v>
      </c>
      <c r="H8" t="s">
        <v>54</v>
      </c>
      <c r="I8">
        <v>1</v>
      </c>
      <c r="J8" t="s">
        <v>58</v>
      </c>
      <c r="K8">
        <v>5</v>
      </c>
      <c r="L8" t="s">
        <v>56</v>
      </c>
    </row>
    <row r="9" spans="1:12" x14ac:dyDescent="0.45">
      <c r="A9" t="s">
        <v>7</v>
      </c>
      <c r="B9">
        <v>2.5</v>
      </c>
      <c r="C9" t="s">
        <v>57</v>
      </c>
      <c r="D9" t="s">
        <v>52</v>
      </c>
      <c r="E9">
        <v>654.1</v>
      </c>
      <c r="F9">
        <v>82.43</v>
      </c>
      <c r="G9" t="s">
        <v>53</v>
      </c>
      <c r="H9" t="s">
        <v>54</v>
      </c>
      <c r="I9">
        <v>1</v>
      </c>
      <c r="J9" t="s">
        <v>58</v>
      </c>
      <c r="K9">
        <v>5</v>
      </c>
      <c r="L9" t="s">
        <v>56</v>
      </c>
    </row>
    <row r="10" spans="1:12" x14ac:dyDescent="0.45">
      <c r="A10" t="s">
        <v>7</v>
      </c>
      <c r="B10">
        <v>3</v>
      </c>
      <c r="C10" t="s">
        <v>57</v>
      </c>
      <c r="D10" t="s">
        <v>52</v>
      </c>
      <c r="E10">
        <v>715.44</v>
      </c>
      <c r="F10">
        <v>82.43</v>
      </c>
      <c r="G10" t="s">
        <v>53</v>
      </c>
      <c r="H10" t="s">
        <v>54</v>
      </c>
      <c r="I10">
        <v>1</v>
      </c>
      <c r="J10" t="s">
        <v>58</v>
      </c>
      <c r="K10">
        <v>5</v>
      </c>
      <c r="L10" t="s">
        <v>56</v>
      </c>
    </row>
    <row r="11" spans="1:12" x14ac:dyDescent="0.45">
      <c r="A11" t="s">
        <v>7</v>
      </c>
      <c r="B11">
        <v>3.5</v>
      </c>
      <c r="C11" t="s">
        <v>57</v>
      </c>
      <c r="D11" t="s">
        <v>52</v>
      </c>
      <c r="E11">
        <v>907.13</v>
      </c>
      <c r="F11">
        <v>84.34</v>
      </c>
      <c r="G11" t="s">
        <v>53</v>
      </c>
      <c r="H11" t="s">
        <v>54</v>
      </c>
      <c r="I11">
        <v>1</v>
      </c>
      <c r="J11" t="s">
        <v>58</v>
      </c>
      <c r="K11">
        <v>5</v>
      </c>
      <c r="L11" t="s">
        <v>56</v>
      </c>
    </row>
    <row r="12" spans="1:12" x14ac:dyDescent="0.45">
      <c r="A12" t="s">
        <v>7</v>
      </c>
      <c r="B12">
        <v>0.08</v>
      </c>
      <c r="C12" t="s">
        <v>59</v>
      </c>
      <c r="D12" t="s">
        <v>52</v>
      </c>
      <c r="E12">
        <v>338.24</v>
      </c>
      <c r="F12">
        <v>65.900000000000006</v>
      </c>
      <c r="G12" t="s">
        <v>53</v>
      </c>
      <c r="H12" t="s">
        <v>54</v>
      </c>
      <c r="I12">
        <v>1</v>
      </c>
      <c r="J12" t="s">
        <v>60</v>
      </c>
      <c r="K12">
        <v>5</v>
      </c>
      <c r="L12" t="s">
        <v>56</v>
      </c>
    </row>
    <row r="13" spans="1:12" x14ac:dyDescent="0.45">
      <c r="A13" t="s">
        <v>7</v>
      </c>
      <c r="B13">
        <v>2.5</v>
      </c>
      <c r="C13" t="s">
        <v>59</v>
      </c>
      <c r="D13" t="s">
        <v>52</v>
      </c>
      <c r="E13">
        <v>455.67</v>
      </c>
      <c r="F13">
        <v>67.099999999999994</v>
      </c>
      <c r="G13" t="s">
        <v>53</v>
      </c>
      <c r="H13" t="s">
        <v>54</v>
      </c>
      <c r="I13">
        <v>1</v>
      </c>
      <c r="J13" t="s">
        <v>60</v>
      </c>
      <c r="K13">
        <v>5</v>
      </c>
      <c r="L13" t="s">
        <v>56</v>
      </c>
    </row>
    <row r="14" spans="1:12" x14ac:dyDescent="0.45">
      <c r="A14" t="s">
        <v>7</v>
      </c>
      <c r="B14">
        <v>3</v>
      </c>
      <c r="C14" t="s">
        <v>59</v>
      </c>
      <c r="D14" t="s">
        <v>52</v>
      </c>
      <c r="E14">
        <v>707.29</v>
      </c>
      <c r="F14">
        <v>65.900000000000006</v>
      </c>
      <c r="G14" t="s">
        <v>53</v>
      </c>
      <c r="H14" t="s">
        <v>54</v>
      </c>
      <c r="I14">
        <v>1</v>
      </c>
      <c r="J14" t="s">
        <v>60</v>
      </c>
      <c r="K14">
        <v>5</v>
      </c>
      <c r="L14" t="s">
        <v>56</v>
      </c>
    </row>
    <row r="15" spans="1:12" x14ac:dyDescent="0.45">
      <c r="A15" t="s">
        <v>7</v>
      </c>
      <c r="B15">
        <v>3.5</v>
      </c>
      <c r="C15" t="s">
        <v>59</v>
      </c>
      <c r="D15" t="s">
        <v>52</v>
      </c>
      <c r="E15">
        <v>712.08</v>
      </c>
      <c r="F15">
        <v>67.099999999999994</v>
      </c>
      <c r="G15" t="s">
        <v>53</v>
      </c>
      <c r="H15" t="s">
        <v>54</v>
      </c>
      <c r="I15">
        <v>1</v>
      </c>
      <c r="J15" t="s">
        <v>60</v>
      </c>
      <c r="K15">
        <v>5</v>
      </c>
      <c r="L15" t="s">
        <v>56</v>
      </c>
    </row>
    <row r="16" spans="1:12" x14ac:dyDescent="0.45">
      <c r="A16" t="s">
        <v>7</v>
      </c>
      <c r="B16">
        <v>0.08</v>
      </c>
      <c r="C16" t="s">
        <v>51</v>
      </c>
      <c r="D16" t="s">
        <v>61</v>
      </c>
      <c r="E16">
        <v>12.61</v>
      </c>
      <c r="F16">
        <v>2.78</v>
      </c>
      <c r="G16" t="s">
        <v>53</v>
      </c>
      <c r="H16" t="s">
        <v>54</v>
      </c>
      <c r="I16">
        <v>2</v>
      </c>
      <c r="J16" t="s">
        <v>55</v>
      </c>
      <c r="K16">
        <v>6</v>
      </c>
      <c r="L16" t="s">
        <v>56</v>
      </c>
    </row>
    <row r="17" spans="1:12" x14ac:dyDescent="0.45">
      <c r="A17" t="s">
        <v>7</v>
      </c>
      <c r="B17">
        <v>2.5</v>
      </c>
      <c r="C17" t="s">
        <v>51</v>
      </c>
      <c r="D17" t="s">
        <v>61</v>
      </c>
      <c r="E17">
        <v>27.55</v>
      </c>
      <c r="F17">
        <v>2.78</v>
      </c>
      <c r="G17" t="s">
        <v>53</v>
      </c>
      <c r="H17" t="s">
        <v>54</v>
      </c>
      <c r="I17">
        <v>2</v>
      </c>
      <c r="J17" t="s">
        <v>55</v>
      </c>
      <c r="K17">
        <v>6</v>
      </c>
      <c r="L17" t="s">
        <v>56</v>
      </c>
    </row>
    <row r="18" spans="1:12" x14ac:dyDescent="0.45">
      <c r="A18" t="s">
        <v>7</v>
      </c>
      <c r="B18">
        <v>3</v>
      </c>
      <c r="C18" t="s">
        <v>51</v>
      </c>
      <c r="D18" t="s">
        <v>61</v>
      </c>
      <c r="E18">
        <v>33.1</v>
      </c>
      <c r="F18">
        <v>2.78</v>
      </c>
      <c r="G18" t="s">
        <v>53</v>
      </c>
      <c r="H18" t="s">
        <v>54</v>
      </c>
      <c r="I18">
        <v>2</v>
      </c>
      <c r="J18" t="s">
        <v>55</v>
      </c>
      <c r="K18">
        <v>6</v>
      </c>
      <c r="L18" t="s">
        <v>56</v>
      </c>
    </row>
    <row r="19" spans="1:12" x14ac:dyDescent="0.45">
      <c r="A19" t="s">
        <v>7</v>
      </c>
      <c r="B19">
        <v>3.5</v>
      </c>
      <c r="C19" t="s">
        <v>51</v>
      </c>
      <c r="D19" t="s">
        <v>61</v>
      </c>
      <c r="E19">
        <v>38.28</v>
      </c>
      <c r="F19">
        <v>2.87</v>
      </c>
      <c r="G19" t="s">
        <v>53</v>
      </c>
      <c r="H19" t="s">
        <v>54</v>
      </c>
      <c r="I19">
        <v>2</v>
      </c>
      <c r="J19" t="s">
        <v>55</v>
      </c>
      <c r="K19">
        <v>6</v>
      </c>
      <c r="L19" t="s">
        <v>56</v>
      </c>
    </row>
    <row r="20" spans="1:12" x14ac:dyDescent="0.45">
      <c r="A20" t="s">
        <v>7</v>
      </c>
      <c r="B20">
        <v>0.08</v>
      </c>
      <c r="C20" t="s">
        <v>57</v>
      </c>
      <c r="D20" t="s">
        <v>61</v>
      </c>
      <c r="E20">
        <v>22.66</v>
      </c>
      <c r="F20">
        <v>2.59</v>
      </c>
      <c r="G20" t="s">
        <v>53</v>
      </c>
      <c r="H20" t="s">
        <v>54</v>
      </c>
      <c r="I20">
        <v>2</v>
      </c>
      <c r="J20" t="s">
        <v>58</v>
      </c>
      <c r="K20">
        <v>6</v>
      </c>
      <c r="L20" t="s">
        <v>56</v>
      </c>
    </row>
    <row r="21" spans="1:12" x14ac:dyDescent="0.45">
      <c r="A21" t="s">
        <v>7</v>
      </c>
      <c r="B21">
        <v>2.5</v>
      </c>
      <c r="C21" t="s">
        <v>57</v>
      </c>
      <c r="D21" t="s">
        <v>61</v>
      </c>
      <c r="E21">
        <v>23.67</v>
      </c>
      <c r="F21">
        <v>2.52</v>
      </c>
      <c r="G21" t="s">
        <v>53</v>
      </c>
      <c r="H21" t="s">
        <v>54</v>
      </c>
      <c r="I21">
        <v>2</v>
      </c>
      <c r="J21" t="s">
        <v>58</v>
      </c>
      <c r="K21">
        <v>6</v>
      </c>
      <c r="L21" t="s">
        <v>56</v>
      </c>
    </row>
    <row r="22" spans="1:12" x14ac:dyDescent="0.45">
      <c r="A22" t="s">
        <v>7</v>
      </c>
      <c r="B22">
        <v>3</v>
      </c>
      <c r="C22" t="s">
        <v>57</v>
      </c>
      <c r="D22" t="s">
        <v>61</v>
      </c>
      <c r="E22">
        <v>26.68</v>
      </c>
      <c r="F22">
        <v>2.52</v>
      </c>
      <c r="G22" t="s">
        <v>53</v>
      </c>
      <c r="H22" t="s">
        <v>54</v>
      </c>
      <c r="I22">
        <v>2</v>
      </c>
      <c r="J22" t="s">
        <v>58</v>
      </c>
      <c r="K22">
        <v>6</v>
      </c>
      <c r="L22" t="s">
        <v>56</v>
      </c>
    </row>
    <row r="23" spans="1:12" x14ac:dyDescent="0.45">
      <c r="A23" t="s">
        <v>7</v>
      </c>
      <c r="B23">
        <v>3.5</v>
      </c>
      <c r="C23" t="s">
        <v>57</v>
      </c>
      <c r="D23" t="s">
        <v>61</v>
      </c>
      <c r="E23">
        <v>34.729999999999997</v>
      </c>
      <c r="F23">
        <v>2.66</v>
      </c>
      <c r="G23" t="s">
        <v>53</v>
      </c>
      <c r="H23" t="s">
        <v>54</v>
      </c>
      <c r="I23">
        <v>2</v>
      </c>
      <c r="J23" t="s">
        <v>58</v>
      </c>
      <c r="K23">
        <v>6</v>
      </c>
      <c r="L23" t="s">
        <v>56</v>
      </c>
    </row>
    <row r="24" spans="1:12" x14ac:dyDescent="0.45">
      <c r="A24" t="s">
        <v>7</v>
      </c>
      <c r="B24">
        <v>0.08</v>
      </c>
      <c r="C24" t="s">
        <v>59</v>
      </c>
      <c r="D24" t="s">
        <v>61</v>
      </c>
      <c r="E24">
        <v>26.32</v>
      </c>
      <c r="F24">
        <v>2.0099999999999998</v>
      </c>
      <c r="G24" t="s">
        <v>53</v>
      </c>
      <c r="H24" t="s">
        <v>54</v>
      </c>
      <c r="I24">
        <v>2</v>
      </c>
      <c r="J24" t="s">
        <v>60</v>
      </c>
      <c r="K24">
        <v>6</v>
      </c>
      <c r="L24" t="s">
        <v>56</v>
      </c>
    </row>
    <row r="25" spans="1:12" x14ac:dyDescent="0.45">
      <c r="A25" t="s">
        <v>7</v>
      </c>
      <c r="B25">
        <v>2.5</v>
      </c>
      <c r="C25" t="s">
        <v>59</v>
      </c>
      <c r="D25" t="s">
        <v>61</v>
      </c>
      <c r="E25">
        <v>29.06</v>
      </c>
      <c r="F25">
        <v>2.0099999999999998</v>
      </c>
      <c r="G25" t="s">
        <v>53</v>
      </c>
      <c r="H25" t="s">
        <v>54</v>
      </c>
      <c r="I25">
        <v>2</v>
      </c>
      <c r="J25" t="s">
        <v>60</v>
      </c>
      <c r="K25">
        <v>6</v>
      </c>
      <c r="L25" t="s">
        <v>56</v>
      </c>
    </row>
    <row r="26" spans="1:12" x14ac:dyDescent="0.45">
      <c r="A26" t="s">
        <v>7</v>
      </c>
      <c r="B26">
        <v>3</v>
      </c>
      <c r="C26" t="s">
        <v>59</v>
      </c>
      <c r="D26" t="s">
        <v>61</v>
      </c>
      <c r="E26">
        <v>32.36</v>
      </c>
      <c r="F26">
        <v>2.08</v>
      </c>
      <c r="G26" t="s">
        <v>53</v>
      </c>
      <c r="H26" t="s">
        <v>54</v>
      </c>
      <c r="I26">
        <v>2</v>
      </c>
      <c r="J26" t="s">
        <v>60</v>
      </c>
      <c r="K26">
        <v>6</v>
      </c>
      <c r="L26" t="s">
        <v>56</v>
      </c>
    </row>
    <row r="27" spans="1:12" x14ac:dyDescent="0.45">
      <c r="A27" t="s">
        <v>7</v>
      </c>
      <c r="B27">
        <v>3.5</v>
      </c>
      <c r="C27" t="s">
        <v>59</v>
      </c>
      <c r="D27" t="s">
        <v>61</v>
      </c>
      <c r="E27">
        <v>46.59</v>
      </c>
      <c r="F27">
        <v>2.08</v>
      </c>
      <c r="G27" t="s">
        <v>53</v>
      </c>
      <c r="H27" t="s">
        <v>54</v>
      </c>
      <c r="I27">
        <v>2</v>
      </c>
      <c r="J27" t="s">
        <v>60</v>
      </c>
      <c r="K27">
        <v>6</v>
      </c>
      <c r="L27" t="s">
        <v>56</v>
      </c>
    </row>
    <row r="28" spans="1:12" x14ac:dyDescent="0.45">
      <c r="A28" t="s">
        <v>8</v>
      </c>
      <c r="B28">
        <v>0.08</v>
      </c>
      <c r="C28" t="s">
        <v>51</v>
      </c>
      <c r="D28" t="s">
        <v>52</v>
      </c>
      <c r="E28">
        <v>298.08999999999997</v>
      </c>
      <c r="F28">
        <v>97.7</v>
      </c>
      <c r="G28" t="s">
        <v>53</v>
      </c>
      <c r="H28" t="s">
        <v>54</v>
      </c>
      <c r="I28">
        <v>1</v>
      </c>
      <c r="J28" t="s">
        <v>55</v>
      </c>
      <c r="K28">
        <v>5</v>
      </c>
      <c r="L28" t="s">
        <v>56</v>
      </c>
    </row>
    <row r="29" spans="1:12" x14ac:dyDescent="0.45">
      <c r="A29" t="s">
        <v>8</v>
      </c>
      <c r="B29">
        <v>2.5</v>
      </c>
      <c r="C29" t="s">
        <v>51</v>
      </c>
      <c r="D29" t="s">
        <v>52</v>
      </c>
      <c r="E29">
        <v>639.08000000000004</v>
      </c>
      <c r="F29">
        <v>95.79</v>
      </c>
      <c r="G29" t="s">
        <v>53</v>
      </c>
      <c r="H29" t="s">
        <v>54</v>
      </c>
      <c r="I29">
        <v>1</v>
      </c>
      <c r="J29" t="s">
        <v>55</v>
      </c>
      <c r="K29">
        <v>5</v>
      </c>
      <c r="L29" t="s">
        <v>56</v>
      </c>
    </row>
    <row r="30" spans="1:12" x14ac:dyDescent="0.45">
      <c r="A30" t="s">
        <v>8</v>
      </c>
      <c r="B30">
        <v>3</v>
      </c>
      <c r="C30" t="s">
        <v>51</v>
      </c>
      <c r="D30" t="s">
        <v>52</v>
      </c>
      <c r="E30">
        <v>987.74</v>
      </c>
      <c r="F30">
        <v>95.79</v>
      </c>
      <c r="G30" t="s">
        <v>53</v>
      </c>
      <c r="H30" t="s">
        <v>54</v>
      </c>
      <c r="I30">
        <v>1</v>
      </c>
      <c r="J30" t="s">
        <v>55</v>
      </c>
      <c r="K30">
        <v>5</v>
      </c>
      <c r="L30" t="s">
        <v>56</v>
      </c>
    </row>
    <row r="31" spans="1:12" x14ac:dyDescent="0.45">
      <c r="A31" t="s">
        <v>8</v>
      </c>
      <c r="B31">
        <v>3.5</v>
      </c>
      <c r="C31" t="s">
        <v>51</v>
      </c>
      <c r="D31" t="s">
        <v>52</v>
      </c>
      <c r="E31">
        <v>1259.77</v>
      </c>
      <c r="F31">
        <v>93.87</v>
      </c>
      <c r="G31" t="s">
        <v>53</v>
      </c>
      <c r="H31" t="s">
        <v>54</v>
      </c>
      <c r="I31">
        <v>1</v>
      </c>
      <c r="J31" t="s">
        <v>55</v>
      </c>
      <c r="K31">
        <v>5</v>
      </c>
      <c r="L31" t="s">
        <v>56</v>
      </c>
    </row>
    <row r="32" spans="1:12" x14ac:dyDescent="0.45">
      <c r="A32" t="s">
        <v>8</v>
      </c>
      <c r="B32">
        <v>0.08</v>
      </c>
      <c r="C32" t="s">
        <v>57</v>
      </c>
      <c r="D32" t="s">
        <v>52</v>
      </c>
      <c r="E32">
        <v>259.20999999999998</v>
      </c>
      <c r="F32">
        <v>93.93</v>
      </c>
      <c r="G32" t="s">
        <v>53</v>
      </c>
      <c r="H32" t="s">
        <v>54</v>
      </c>
      <c r="I32">
        <v>1</v>
      </c>
      <c r="J32" t="s">
        <v>58</v>
      </c>
      <c r="K32">
        <v>5</v>
      </c>
      <c r="L32" t="s">
        <v>56</v>
      </c>
    </row>
    <row r="33" spans="1:12" x14ac:dyDescent="0.45">
      <c r="A33" t="s">
        <v>8</v>
      </c>
      <c r="B33">
        <v>2.5</v>
      </c>
      <c r="C33" t="s">
        <v>57</v>
      </c>
      <c r="D33" t="s">
        <v>52</v>
      </c>
      <c r="E33">
        <v>596.59</v>
      </c>
      <c r="F33">
        <v>93.93</v>
      </c>
      <c r="G33" t="s">
        <v>53</v>
      </c>
      <c r="H33" t="s">
        <v>54</v>
      </c>
      <c r="I33">
        <v>1</v>
      </c>
      <c r="J33" t="s">
        <v>58</v>
      </c>
      <c r="K33">
        <v>5</v>
      </c>
      <c r="L33" t="s">
        <v>56</v>
      </c>
    </row>
    <row r="34" spans="1:12" x14ac:dyDescent="0.45">
      <c r="A34" t="s">
        <v>8</v>
      </c>
      <c r="B34">
        <v>3</v>
      </c>
      <c r="C34" t="s">
        <v>57</v>
      </c>
      <c r="D34" t="s">
        <v>52</v>
      </c>
      <c r="E34">
        <v>987.65</v>
      </c>
      <c r="F34">
        <v>90.1</v>
      </c>
      <c r="G34" t="s">
        <v>53</v>
      </c>
      <c r="H34" t="s">
        <v>54</v>
      </c>
      <c r="I34">
        <v>1</v>
      </c>
      <c r="J34" t="s">
        <v>58</v>
      </c>
      <c r="K34">
        <v>5</v>
      </c>
      <c r="L34" t="s">
        <v>56</v>
      </c>
    </row>
    <row r="35" spans="1:12" x14ac:dyDescent="0.45">
      <c r="A35" t="s">
        <v>8</v>
      </c>
      <c r="B35">
        <v>3.5</v>
      </c>
      <c r="C35" t="s">
        <v>57</v>
      </c>
      <c r="D35" t="s">
        <v>52</v>
      </c>
      <c r="E35">
        <v>1359.53</v>
      </c>
      <c r="F35">
        <v>92.01</v>
      </c>
      <c r="G35" t="s">
        <v>53</v>
      </c>
      <c r="H35" t="s">
        <v>54</v>
      </c>
      <c r="I35">
        <v>1</v>
      </c>
      <c r="J35" t="s">
        <v>58</v>
      </c>
      <c r="K35">
        <v>5</v>
      </c>
      <c r="L35" t="s">
        <v>56</v>
      </c>
    </row>
    <row r="36" spans="1:12" x14ac:dyDescent="0.45">
      <c r="A36" t="s">
        <v>8</v>
      </c>
      <c r="B36">
        <v>0.08</v>
      </c>
      <c r="C36" t="s">
        <v>59</v>
      </c>
      <c r="D36" t="s">
        <v>52</v>
      </c>
      <c r="E36">
        <v>309.48</v>
      </c>
      <c r="F36">
        <v>70.69</v>
      </c>
      <c r="G36" t="s">
        <v>53</v>
      </c>
      <c r="H36" t="s">
        <v>54</v>
      </c>
      <c r="I36">
        <v>1</v>
      </c>
      <c r="J36" t="s">
        <v>60</v>
      </c>
      <c r="K36">
        <v>5</v>
      </c>
      <c r="L36" t="s">
        <v>56</v>
      </c>
    </row>
    <row r="37" spans="1:12" x14ac:dyDescent="0.45">
      <c r="A37" t="s">
        <v>8</v>
      </c>
      <c r="B37">
        <v>2.5</v>
      </c>
      <c r="C37" t="s">
        <v>59</v>
      </c>
      <c r="D37" t="s">
        <v>52</v>
      </c>
      <c r="E37">
        <v>652.16999999999996</v>
      </c>
      <c r="F37">
        <v>70.69</v>
      </c>
      <c r="G37" t="s">
        <v>53</v>
      </c>
      <c r="H37" t="s">
        <v>54</v>
      </c>
      <c r="I37">
        <v>1</v>
      </c>
      <c r="J37" t="s">
        <v>60</v>
      </c>
      <c r="K37">
        <v>5</v>
      </c>
      <c r="L37" t="s">
        <v>56</v>
      </c>
    </row>
    <row r="38" spans="1:12" x14ac:dyDescent="0.45">
      <c r="A38" t="s">
        <v>8</v>
      </c>
      <c r="B38">
        <v>3</v>
      </c>
      <c r="C38" t="s">
        <v>59</v>
      </c>
      <c r="D38" t="s">
        <v>52</v>
      </c>
      <c r="E38">
        <v>839.1</v>
      </c>
      <c r="F38">
        <v>71.89</v>
      </c>
      <c r="G38" t="s">
        <v>53</v>
      </c>
      <c r="H38" t="s">
        <v>54</v>
      </c>
      <c r="I38">
        <v>1</v>
      </c>
      <c r="J38" t="s">
        <v>60</v>
      </c>
      <c r="K38">
        <v>5</v>
      </c>
      <c r="L38" t="s">
        <v>56</v>
      </c>
    </row>
    <row r="39" spans="1:12" x14ac:dyDescent="0.45">
      <c r="A39" t="s">
        <v>8</v>
      </c>
      <c r="B39">
        <v>3.5</v>
      </c>
      <c r="C39" t="s">
        <v>59</v>
      </c>
      <c r="D39" t="s">
        <v>52</v>
      </c>
      <c r="E39">
        <v>815.13</v>
      </c>
      <c r="F39">
        <v>70.69</v>
      </c>
      <c r="G39" t="s">
        <v>53</v>
      </c>
      <c r="H39" t="s">
        <v>54</v>
      </c>
      <c r="I39">
        <v>1</v>
      </c>
      <c r="J39" t="s">
        <v>60</v>
      </c>
      <c r="K39">
        <v>5</v>
      </c>
      <c r="L39" t="s">
        <v>56</v>
      </c>
    </row>
    <row r="40" spans="1:12" x14ac:dyDescent="0.45">
      <c r="A40" t="s">
        <v>8</v>
      </c>
      <c r="B40">
        <v>0.08</v>
      </c>
      <c r="C40" t="s">
        <v>51</v>
      </c>
      <c r="D40" t="s">
        <v>61</v>
      </c>
      <c r="E40">
        <v>22.57</v>
      </c>
      <c r="F40">
        <v>3.35</v>
      </c>
      <c r="G40" t="s">
        <v>53</v>
      </c>
      <c r="H40" t="s">
        <v>54</v>
      </c>
      <c r="I40">
        <v>2</v>
      </c>
      <c r="J40" t="s">
        <v>55</v>
      </c>
      <c r="K40">
        <v>6</v>
      </c>
      <c r="L40" t="s">
        <v>56</v>
      </c>
    </row>
    <row r="41" spans="1:12" x14ac:dyDescent="0.45">
      <c r="A41" t="s">
        <v>8</v>
      </c>
      <c r="B41">
        <v>2.5</v>
      </c>
      <c r="C41" t="s">
        <v>51</v>
      </c>
      <c r="D41" t="s">
        <v>61</v>
      </c>
      <c r="E41">
        <v>34.06</v>
      </c>
      <c r="F41">
        <v>3.35</v>
      </c>
      <c r="G41" t="s">
        <v>53</v>
      </c>
      <c r="H41" t="s">
        <v>54</v>
      </c>
      <c r="I41">
        <v>2</v>
      </c>
      <c r="J41" t="s">
        <v>55</v>
      </c>
      <c r="K41">
        <v>6</v>
      </c>
      <c r="L41" t="s">
        <v>56</v>
      </c>
    </row>
    <row r="42" spans="1:12" x14ac:dyDescent="0.45">
      <c r="A42" t="s">
        <v>8</v>
      </c>
      <c r="B42">
        <v>3</v>
      </c>
      <c r="C42" t="s">
        <v>51</v>
      </c>
      <c r="D42" t="s">
        <v>61</v>
      </c>
      <c r="E42">
        <v>51.69</v>
      </c>
      <c r="F42">
        <v>3.54</v>
      </c>
      <c r="G42" t="s">
        <v>53</v>
      </c>
      <c r="H42" t="s">
        <v>54</v>
      </c>
      <c r="I42">
        <v>2</v>
      </c>
      <c r="J42" t="s">
        <v>55</v>
      </c>
      <c r="K42">
        <v>6</v>
      </c>
      <c r="L42" t="s">
        <v>56</v>
      </c>
    </row>
    <row r="43" spans="1:12" x14ac:dyDescent="0.45">
      <c r="A43" t="s">
        <v>8</v>
      </c>
      <c r="B43">
        <v>3.5</v>
      </c>
      <c r="C43" t="s">
        <v>51</v>
      </c>
      <c r="D43" t="s">
        <v>61</v>
      </c>
      <c r="E43">
        <v>58.97</v>
      </c>
      <c r="F43">
        <v>3.35</v>
      </c>
      <c r="G43" t="s">
        <v>53</v>
      </c>
      <c r="H43" t="s">
        <v>54</v>
      </c>
      <c r="I43">
        <v>2</v>
      </c>
      <c r="J43" t="s">
        <v>55</v>
      </c>
      <c r="K43">
        <v>6</v>
      </c>
      <c r="L43" t="s">
        <v>56</v>
      </c>
    </row>
    <row r="44" spans="1:12" x14ac:dyDescent="0.45">
      <c r="A44" t="s">
        <v>8</v>
      </c>
      <c r="B44">
        <v>0.08</v>
      </c>
      <c r="C44" t="s">
        <v>57</v>
      </c>
      <c r="D44" t="s">
        <v>61</v>
      </c>
      <c r="E44">
        <v>21.8</v>
      </c>
      <c r="F44">
        <v>3.09</v>
      </c>
      <c r="G44" t="s">
        <v>53</v>
      </c>
      <c r="H44" t="s">
        <v>54</v>
      </c>
      <c r="I44">
        <v>2</v>
      </c>
      <c r="J44" t="s">
        <v>58</v>
      </c>
      <c r="K44">
        <v>6</v>
      </c>
      <c r="L44" t="s">
        <v>56</v>
      </c>
    </row>
    <row r="45" spans="1:12" x14ac:dyDescent="0.45">
      <c r="A45" t="s">
        <v>8</v>
      </c>
      <c r="B45">
        <v>2.5</v>
      </c>
      <c r="C45" t="s">
        <v>57</v>
      </c>
      <c r="D45" t="s">
        <v>61</v>
      </c>
      <c r="E45">
        <v>27.26</v>
      </c>
      <c r="F45">
        <v>3.09</v>
      </c>
      <c r="G45" t="s">
        <v>53</v>
      </c>
      <c r="H45" t="s">
        <v>54</v>
      </c>
      <c r="I45">
        <v>2</v>
      </c>
      <c r="J45" t="s">
        <v>58</v>
      </c>
      <c r="K45">
        <v>6</v>
      </c>
      <c r="L45" t="s">
        <v>56</v>
      </c>
    </row>
    <row r="46" spans="1:12" x14ac:dyDescent="0.45">
      <c r="A46" t="s">
        <v>8</v>
      </c>
      <c r="B46">
        <v>3</v>
      </c>
      <c r="C46" t="s">
        <v>57</v>
      </c>
      <c r="D46" t="s">
        <v>61</v>
      </c>
      <c r="E46">
        <v>38.61</v>
      </c>
      <c r="F46">
        <v>2.95</v>
      </c>
      <c r="G46" t="s">
        <v>53</v>
      </c>
      <c r="H46" t="s">
        <v>54</v>
      </c>
      <c r="I46">
        <v>2</v>
      </c>
      <c r="J46" t="s">
        <v>58</v>
      </c>
      <c r="K46">
        <v>6</v>
      </c>
      <c r="L46" t="s">
        <v>56</v>
      </c>
    </row>
    <row r="47" spans="1:12" x14ac:dyDescent="0.45">
      <c r="A47" t="s">
        <v>8</v>
      </c>
      <c r="B47">
        <v>3.5</v>
      </c>
      <c r="C47" t="s">
        <v>57</v>
      </c>
      <c r="D47" t="s">
        <v>61</v>
      </c>
      <c r="E47">
        <v>41.2</v>
      </c>
      <c r="F47">
        <v>2.87</v>
      </c>
      <c r="G47" t="s">
        <v>53</v>
      </c>
      <c r="H47" t="s">
        <v>54</v>
      </c>
      <c r="I47">
        <v>2</v>
      </c>
      <c r="J47" t="s">
        <v>58</v>
      </c>
      <c r="K47">
        <v>6</v>
      </c>
      <c r="L47" t="s">
        <v>56</v>
      </c>
    </row>
    <row r="48" spans="1:12" x14ac:dyDescent="0.45">
      <c r="A48" t="s">
        <v>8</v>
      </c>
      <c r="B48">
        <v>0.08</v>
      </c>
      <c r="C48" t="s">
        <v>59</v>
      </c>
      <c r="D48" t="s">
        <v>61</v>
      </c>
      <c r="E48">
        <v>27.47</v>
      </c>
      <c r="F48">
        <v>2.23</v>
      </c>
      <c r="G48" t="s">
        <v>53</v>
      </c>
      <c r="H48" t="s">
        <v>54</v>
      </c>
      <c r="I48">
        <v>2</v>
      </c>
      <c r="J48" t="s">
        <v>60</v>
      </c>
      <c r="K48">
        <v>6</v>
      </c>
      <c r="L48" t="s">
        <v>56</v>
      </c>
    </row>
    <row r="49" spans="1:12" x14ac:dyDescent="0.45">
      <c r="A49" t="s">
        <v>8</v>
      </c>
      <c r="B49">
        <v>2.5</v>
      </c>
      <c r="C49" t="s">
        <v>59</v>
      </c>
      <c r="D49" t="s">
        <v>61</v>
      </c>
      <c r="E49">
        <v>25.89</v>
      </c>
      <c r="F49">
        <v>2.37</v>
      </c>
      <c r="G49" t="s">
        <v>53</v>
      </c>
      <c r="H49" t="s">
        <v>54</v>
      </c>
      <c r="I49">
        <v>2</v>
      </c>
      <c r="J49" t="s">
        <v>60</v>
      </c>
      <c r="K49">
        <v>6</v>
      </c>
      <c r="L49" t="s">
        <v>56</v>
      </c>
    </row>
    <row r="50" spans="1:12" x14ac:dyDescent="0.45">
      <c r="A50" t="s">
        <v>8</v>
      </c>
      <c r="B50">
        <v>3</v>
      </c>
      <c r="C50" t="s">
        <v>59</v>
      </c>
      <c r="D50" t="s">
        <v>61</v>
      </c>
      <c r="E50">
        <v>31.93</v>
      </c>
      <c r="F50">
        <v>2.23</v>
      </c>
      <c r="G50" t="s">
        <v>53</v>
      </c>
      <c r="H50" t="s">
        <v>54</v>
      </c>
      <c r="I50">
        <v>2</v>
      </c>
      <c r="J50" t="s">
        <v>60</v>
      </c>
      <c r="K50">
        <v>6</v>
      </c>
      <c r="L50" t="s">
        <v>56</v>
      </c>
    </row>
    <row r="51" spans="1:12" x14ac:dyDescent="0.45">
      <c r="A51" t="s">
        <v>8</v>
      </c>
      <c r="B51">
        <v>3.5</v>
      </c>
      <c r="C51" t="s">
        <v>59</v>
      </c>
      <c r="D51" t="s">
        <v>61</v>
      </c>
      <c r="E51">
        <v>31.21</v>
      </c>
      <c r="F51">
        <v>2.37</v>
      </c>
      <c r="G51" t="s">
        <v>53</v>
      </c>
      <c r="H51" t="s">
        <v>54</v>
      </c>
      <c r="I51">
        <v>2</v>
      </c>
      <c r="J51" t="s">
        <v>60</v>
      </c>
      <c r="K51">
        <v>6</v>
      </c>
      <c r="L51" t="s">
        <v>56</v>
      </c>
    </row>
    <row r="52" spans="1:12" x14ac:dyDescent="0.45">
      <c r="A52" t="s">
        <v>9</v>
      </c>
      <c r="B52">
        <v>0.08</v>
      </c>
      <c r="C52" t="s">
        <v>51</v>
      </c>
      <c r="D52" t="s">
        <v>52</v>
      </c>
      <c r="E52">
        <v>254.02</v>
      </c>
      <c r="F52">
        <v>95.79</v>
      </c>
      <c r="G52" t="s">
        <v>53</v>
      </c>
      <c r="H52" t="s">
        <v>54</v>
      </c>
      <c r="I52">
        <v>1</v>
      </c>
      <c r="J52" t="s">
        <v>55</v>
      </c>
      <c r="K52">
        <v>5</v>
      </c>
      <c r="L52" t="s">
        <v>56</v>
      </c>
    </row>
    <row r="53" spans="1:12" x14ac:dyDescent="0.45">
      <c r="A53" t="s">
        <v>9</v>
      </c>
      <c r="B53">
        <v>2.5</v>
      </c>
      <c r="C53" t="s">
        <v>51</v>
      </c>
      <c r="D53" t="s">
        <v>52</v>
      </c>
      <c r="E53">
        <v>947.51</v>
      </c>
      <c r="F53">
        <v>95.79</v>
      </c>
      <c r="G53" t="s">
        <v>53</v>
      </c>
      <c r="H53" t="s">
        <v>54</v>
      </c>
      <c r="I53">
        <v>1</v>
      </c>
      <c r="J53" t="s">
        <v>55</v>
      </c>
      <c r="K53">
        <v>5</v>
      </c>
      <c r="L53" t="s">
        <v>56</v>
      </c>
    </row>
    <row r="54" spans="1:12" x14ac:dyDescent="0.45">
      <c r="A54" t="s">
        <v>9</v>
      </c>
      <c r="B54">
        <v>3</v>
      </c>
      <c r="C54" t="s">
        <v>51</v>
      </c>
      <c r="D54" t="s">
        <v>52</v>
      </c>
      <c r="E54">
        <v>951.34</v>
      </c>
      <c r="F54">
        <v>93.87</v>
      </c>
      <c r="G54" t="s">
        <v>53</v>
      </c>
      <c r="H54" t="s">
        <v>54</v>
      </c>
      <c r="I54">
        <v>1</v>
      </c>
      <c r="J54" t="s">
        <v>55</v>
      </c>
      <c r="K54">
        <v>5</v>
      </c>
      <c r="L54" t="s">
        <v>56</v>
      </c>
    </row>
    <row r="55" spans="1:12" x14ac:dyDescent="0.45">
      <c r="A55" t="s">
        <v>9</v>
      </c>
      <c r="B55">
        <v>3.5</v>
      </c>
      <c r="C55" t="s">
        <v>51</v>
      </c>
      <c r="D55" t="s">
        <v>52</v>
      </c>
      <c r="E55">
        <v>981.99</v>
      </c>
      <c r="F55">
        <v>95.79</v>
      </c>
      <c r="G55" t="s">
        <v>53</v>
      </c>
      <c r="H55" t="s">
        <v>54</v>
      </c>
      <c r="I55">
        <v>1</v>
      </c>
      <c r="J55" t="s">
        <v>55</v>
      </c>
      <c r="K55">
        <v>5</v>
      </c>
      <c r="L55" t="s">
        <v>56</v>
      </c>
    </row>
    <row r="56" spans="1:12" x14ac:dyDescent="0.45">
      <c r="A56" t="s">
        <v>9</v>
      </c>
      <c r="B56">
        <v>0.08</v>
      </c>
      <c r="C56" t="s">
        <v>57</v>
      </c>
      <c r="D56" t="s">
        <v>52</v>
      </c>
      <c r="E56">
        <v>414.48</v>
      </c>
      <c r="F56">
        <v>84.34</v>
      </c>
      <c r="G56" t="s">
        <v>53</v>
      </c>
      <c r="H56" t="s">
        <v>54</v>
      </c>
      <c r="I56">
        <v>1</v>
      </c>
      <c r="J56" t="s">
        <v>58</v>
      </c>
      <c r="K56">
        <v>5</v>
      </c>
      <c r="L56" t="s">
        <v>56</v>
      </c>
    </row>
    <row r="57" spans="1:12" x14ac:dyDescent="0.45">
      <c r="A57" t="s">
        <v>9</v>
      </c>
      <c r="B57">
        <v>2.5</v>
      </c>
      <c r="C57" t="s">
        <v>57</v>
      </c>
      <c r="D57" t="s">
        <v>52</v>
      </c>
      <c r="E57">
        <v>709.69</v>
      </c>
      <c r="F57">
        <v>86.26</v>
      </c>
      <c r="G57" t="s">
        <v>53</v>
      </c>
      <c r="H57" t="s">
        <v>54</v>
      </c>
      <c r="I57">
        <v>1</v>
      </c>
      <c r="J57" t="s">
        <v>58</v>
      </c>
      <c r="K57">
        <v>5</v>
      </c>
      <c r="L57" t="s">
        <v>56</v>
      </c>
    </row>
    <row r="58" spans="1:12" x14ac:dyDescent="0.45">
      <c r="A58" t="s">
        <v>9</v>
      </c>
      <c r="B58">
        <v>3</v>
      </c>
      <c r="C58" t="s">
        <v>57</v>
      </c>
      <c r="D58" t="s">
        <v>52</v>
      </c>
      <c r="E58">
        <v>878.38</v>
      </c>
      <c r="F58">
        <v>86.26</v>
      </c>
      <c r="G58" t="s">
        <v>53</v>
      </c>
      <c r="H58" t="s">
        <v>54</v>
      </c>
      <c r="I58">
        <v>1</v>
      </c>
      <c r="J58" t="s">
        <v>58</v>
      </c>
      <c r="K58">
        <v>5</v>
      </c>
      <c r="L58" t="s">
        <v>56</v>
      </c>
    </row>
    <row r="59" spans="1:12" x14ac:dyDescent="0.45">
      <c r="A59" t="s">
        <v>9</v>
      </c>
      <c r="B59">
        <v>3.5</v>
      </c>
      <c r="C59" t="s">
        <v>57</v>
      </c>
      <c r="D59" t="s">
        <v>52</v>
      </c>
      <c r="E59">
        <v>882.21</v>
      </c>
      <c r="F59">
        <v>84.34</v>
      </c>
      <c r="G59" t="s">
        <v>53</v>
      </c>
      <c r="H59" t="s">
        <v>54</v>
      </c>
      <c r="I59">
        <v>1</v>
      </c>
      <c r="J59" t="s">
        <v>58</v>
      </c>
      <c r="K59">
        <v>5</v>
      </c>
      <c r="L59" t="s">
        <v>56</v>
      </c>
    </row>
    <row r="60" spans="1:12" x14ac:dyDescent="0.45">
      <c r="A60" t="s">
        <v>9</v>
      </c>
      <c r="B60">
        <v>0.08</v>
      </c>
      <c r="C60" t="s">
        <v>59</v>
      </c>
      <c r="D60" t="s">
        <v>52</v>
      </c>
      <c r="E60">
        <v>377.78</v>
      </c>
      <c r="F60">
        <v>64.7</v>
      </c>
      <c r="G60" t="s">
        <v>53</v>
      </c>
      <c r="H60" t="s">
        <v>54</v>
      </c>
      <c r="I60">
        <v>1</v>
      </c>
      <c r="J60" t="s">
        <v>60</v>
      </c>
      <c r="K60">
        <v>5</v>
      </c>
      <c r="L60" t="s">
        <v>56</v>
      </c>
    </row>
    <row r="61" spans="1:12" x14ac:dyDescent="0.45">
      <c r="A61" t="s">
        <v>9</v>
      </c>
      <c r="B61">
        <v>2.5</v>
      </c>
      <c r="C61" t="s">
        <v>59</v>
      </c>
      <c r="D61" t="s">
        <v>52</v>
      </c>
      <c r="E61">
        <v>595.86</v>
      </c>
      <c r="F61">
        <v>67.099999999999994</v>
      </c>
      <c r="G61" t="s">
        <v>53</v>
      </c>
      <c r="H61" t="s">
        <v>54</v>
      </c>
      <c r="I61">
        <v>1</v>
      </c>
      <c r="J61" t="s">
        <v>60</v>
      </c>
      <c r="K61">
        <v>5</v>
      </c>
      <c r="L61" t="s">
        <v>56</v>
      </c>
    </row>
    <row r="62" spans="1:12" x14ac:dyDescent="0.45">
      <c r="A62" t="s">
        <v>9</v>
      </c>
      <c r="B62">
        <v>3</v>
      </c>
      <c r="C62" t="s">
        <v>59</v>
      </c>
      <c r="D62" t="s">
        <v>52</v>
      </c>
      <c r="E62">
        <v>677.34</v>
      </c>
      <c r="F62">
        <v>64.7</v>
      </c>
      <c r="G62" t="s">
        <v>53</v>
      </c>
      <c r="H62" t="s">
        <v>54</v>
      </c>
      <c r="I62">
        <v>1</v>
      </c>
      <c r="J62" t="s">
        <v>60</v>
      </c>
      <c r="K62">
        <v>5</v>
      </c>
      <c r="L62" t="s">
        <v>56</v>
      </c>
    </row>
    <row r="63" spans="1:12" x14ac:dyDescent="0.45">
      <c r="A63" t="s">
        <v>9</v>
      </c>
      <c r="B63">
        <v>3.5</v>
      </c>
      <c r="C63" t="s">
        <v>59</v>
      </c>
      <c r="D63" t="s">
        <v>52</v>
      </c>
      <c r="E63">
        <v>619.82000000000005</v>
      </c>
      <c r="F63">
        <v>64.7</v>
      </c>
      <c r="G63" t="s">
        <v>53</v>
      </c>
      <c r="H63" t="s">
        <v>54</v>
      </c>
      <c r="I63">
        <v>1</v>
      </c>
      <c r="J63" t="s">
        <v>60</v>
      </c>
      <c r="K63">
        <v>5</v>
      </c>
      <c r="L63" t="s">
        <v>56</v>
      </c>
    </row>
    <row r="64" spans="1:12" x14ac:dyDescent="0.45">
      <c r="A64" t="s">
        <v>9</v>
      </c>
      <c r="B64">
        <v>0.08</v>
      </c>
      <c r="C64" t="s">
        <v>51</v>
      </c>
      <c r="D64" t="s">
        <v>61</v>
      </c>
      <c r="E64">
        <v>16.72</v>
      </c>
      <c r="F64">
        <v>2.87</v>
      </c>
      <c r="G64" t="s">
        <v>53</v>
      </c>
      <c r="H64" t="s">
        <v>54</v>
      </c>
      <c r="I64">
        <v>2</v>
      </c>
      <c r="J64" t="s">
        <v>55</v>
      </c>
      <c r="K64">
        <v>6</v>
      </c>
      <c r="L64" t="s">
        <v>56</v>
      </c>
    </row>
    <row r="65" spans="1:12" x14ac:dyDescent="0.45">
      <c r="A65" t="s">
        <v>9</v>
      </c>
      <c r="B65">
        <v>2.5</v>
      </c>
      <c r="C65" t="s">
        <v>51</v>
      </c>
      <c r="D65" t="s">
        <v>61</v>
      </c>
      <c r="E65">
        <v>37.03</v>
      </c>
      <c r="F65">
        <v>2.87</v>
      </c>
      <c r="G65" t="s">
        <v>53</v>
      </c>
      <c r="H65" t="s">
        <v>54</v>
      </c>
      <c r="I65">
        <v>2</v>
      </c>
      <c r="J65" t="s">
        <v>55</v>
      </c>
      <c r="K65">
        <v>6</v>
      </c>
      <c r="L65" t="s">
        <v>56</v>
      </c>
    </row>
    <row r="66" spans="1:12" x14ac:dyDescent="0.45">
      <c r="A66" t="s">
        <v>9</v>
      </c>
      <c r="B66">
        <v>3</v>
      </c>
      <c r="C66" t="s">
        <v>51</v>
      </c>
      <c r="D66" t="s">
        <v>61</v>
      </c>
      <c r="E66">
        <v>62.13</v>
      </c>
      <c r="F66">
        <v>2.87</v>
      </c>
      <c r="G66" t="s">
        <v>53</v>
      </c>
      <c r="H66" t="s">
        <v>54</v>
      </c>
      <c r="I66">
        <v>2</v>
      </c>
      <c r="J66" t="s">
        <v>55</v>
      </c>
      <c r="K66">
        <v>6</v>
      </c>
      <c r="L66" t="s">
        <v>56</v>
      </c>
    </row>
    <row r="67" spans="1:12" x14ac:dyDescent="0.45">
      <c r="A67" t="s">
        <v>9</v>
      </c>
      <c r="B67">
        <v>3.5</v>
      </c>
      <c r="C67" t="s">
        <v>51</v>
      </c>
      <c r="D67" t="s">
        <v>61</v>
      </c>
      <c r="E67">
        <v>67.87</v>
      </c>
      <c r="F67">
        <v>2.87</v>
      </c>
      <c r="G67" t="s">
        <v>53</v>
      </c>
      <c r="H67" t="s">
        <v>54</v>
      </c>
      <c r="I67">
        <v>2</v>
      </c>
      <c r="J67" t="s">
        <v>55</v>
      </c>
      <c r="K67">
        <v>6</v>
      </c>
      <c r="L67" t="s">
        <v>56</v>
      </c>
    </row>
    <row r="68" spans="1:12" x14ac:dyDescent="0.45">
      <c r="A68" t="s">
        <v>9</v>
      </c>
      <c r="B68">
        <v>0.08</v>
      </c>
      <c r="C68" t="s">
        <v>57</v>
      </c>
      <c r="D68" t="s">
        <v>61</v>
      </c>
      <c r="E68">
        <v>14.39</v>
      </c>
      <c r="F68">
        <v>2.73</v>
      </c>
      <c r="G68" t="s">
        <v>53</v>
      </c>
      <c r="H68" t="s">
        <v>54</v>
      </c>
      <c r="I68">
        <v>2</v>
      </c>
      <c r="J68" t="s">
        <v>58</v>
      </c>
      <c r="K68">
        <v>6</v>
      </c>
      <c r="L68" t="s">
        <v>56</v>
      </c>
    </row>
    <row r="69" spans="1:12" x14ac:dyDescent="0.45">
      <c r="A69" t="s">
        <v>9</v>
      </c>
      <c r="B69">
        <v>2.5</v>
      </c>
      <c r="C69" t="s">
        <v>57</v>
      </c>
      <c r="D69" t="s">
        <v>61</v>
      </c>
      <c r="E69">
        <v>29.2</v>
      </c>
      <c r="F69">
        <v>2.59</v>
      </c>
      <c r="G69" t="s">
        <v>53</v>
      </c>
      <c r="H69" t="s">
        <v>54</v>
      </c>
      <c r="I69">
        <v>2</v>
      </c>
      <c r="J69" t="s">
        <v>58</v>
      </c>
      <c r="K69">
        <v>6</v>
      </c>
      <c r="L69" t="s">
        <v>56</v>
      </c>
    </row>
    <row r="70" spans="1:12" x14ac:dyDescent="0.45">
      <c r="A70" t="s">
        <v>9</v>
      </c>
      <c r="B70">
        <v>3</v>
      </c>
      <c r="C70" t="s">
        <v>57</v>
      </c>
      <c r="D70" t="s">
        <v>61</v>
      </c>
      <c r="E70">
        <v>36.24</v>
      </c>
      <c r="F70">
        <v>2.66</v>
      </c>
      <c r="G70" t="s">
        <v>53</v>
      </c>
      <c r="H70" t="s">
        <v>54</v>
      </c>
      <c r="I70">
        <v>2</v>
      </c>
      <c r="J70" t="s">
        <v>58</v>
      </c>
      <c r="K70">
        <v>6</v>
      </c>
      <c r="L70" t="s">
        <v>56</v>
      </c>
    </row>
    <row r="71" spans="1:12" x14ac:dyDescent="0.45">
      <c r="A71" t="s">
        <v>9</v>
      </c>
      <c r="B71">
        <v>3.5</v>
      </c>
      <c r="C71" t="s">
        <v>57</v>
      </c>
      <c r="D71" t="s">
        <v>61</v>
      </c>
      <c r="E71">
        <v>48.17</v>
      </c>
      <c r="F71">
        <v>2.52</v>
      </c>
      <c r="G71" t="s">
        <v>53</v>
      </c>
      <c r="H71" t="s">
        <v>54</v>
      </c>
      <c r="I71">
        <v>2</v>
      </c>
      <c r="J71" t="s">
        <v>58</v>
      </c>
      <c r="K71">
        <v>6</v>
      </c>
      <c r="L71" t="s">
        <v>56</v>
      </c>
    </row>
    <row r="72" spans="1:12" x14ac:dyDescent="0.45">
      <c r="A72" t="s">
        <v>9</v>
      </c>
      <c r="B72">
        <v>0.08</v>
      </c>
      <c r="C72" t="s">
        <v>59</v>
      </c>
      <c r="D72" t="s">
        <v>61</v>
      </c>
      <c r="E72">
        <v>40.770000000000003</v>
      </c>
      <c r="F72">
        <v>2.0099999999999998</v>
      </c>
      <c r="G72" t="s">
        <v>53</v>
      </c>
      <c r="H72" t="s">
        <v>54</v>
      </c>
      <c r="I72">
        <v>2</v>
      </c>
      <c r="J72" t="s">
        <v>60</v>
      </c>
      <c r="K72">
        <v>6</v>
      </c>
      <c r="L72" t="s">
        <v>56</v>
      </c>
    </row>
    <row r="73" spans="1:12" x14ac:dyDescent="0.45">
      <c r="A73" t="s">
        <v>9</v>
      </c>
      <c r="B73">
        <v>2.5</v>
      </c>
      <c r="C73" t="s">
        <v>59</v>
      </c>
      <c r="D73" t="s">
        <v>61</v>
      </c>
      <c r="E73">
        <v>50.4</v>
      </c>
      <c r="F73">
        <v>1.94</v>
      </c>
      <c r="G73" t="s">
        <v>53</v>
      </c>
      <c r="H73" t="s">
        <v>54</v>
      </c>
      <c r="I73">
        <v>2</v>
      </c>
      <c r="J73" t="s">
        <v>60</v>
      </c>
      <c r="K73">
        <v>6</v>
      </c>
      <c r="L73" t="s">
        <v>56</v>
      </c>
    </row>
    <row r="74" spans="1:12" x14ac:dyDescent="0.45">
      <c r="A74" t="s">
        <v>9</v>
      </c>
      <c r="B74">
        <v>3</v>
      </c>
      <c r="C74" t="s">
        <v>59</v>
      </c>
      <c r="D74" t="s">
        <v>61</v>
      </c>
      <c r="E74">
        <v>49.39</v>
      </c>
      <c r="F74">
        <v>1.87</v>
      </c>
      <c r="G74" t="s">
        <v>53</v>
      </c>
      <c r="H74" t="s">
        <v>54</v>
      </c>
      <c r="I74">
        <v>2</v>
      </c>
      <c r="J74" t="s">
        <v>60</v>
      </c>
      <c r="K74">
        <v>6</v>
      </c>
      <c r="L74" t="s">
        <v>56</v>
      </c>
    </row>
    <row r="75" spans="1:12" x14ac:dyDescent="0.45">
      <c r="A75" t="s">
        <v>9</v>
      </c>
      <c r="B75">
        <v>3.5</v>
      </c>
      <c r="C75" t="s">
        <v>59</v>
      </c>
      <c r="D75" t="s">
        <v>61</v>
      </c>
      <c r="E75">
        <v>52.41</v>
      </c>
      <c r="F75">
        <v>1.87</v>
      </c>
      <c r="G75" t="s">
        <v>53</v>
      </c>
      <c r="H75" t="s">
        <v>54</v>
      </c>
      <c r="I75">
        <v>2</v>
      </c>
      <c r="J75" t="s">
        <v>60</v>
      </c>
      <c r="K75">
        <v>6</v>
      </c>
      <c r="L75" t="s">
        <v>56</v>
      </c>
    </row>
    <row r="76" spans="1:12" x14ac:dyDescent="0.45">
      <c r="A76" t="s">
        <v>10</v>
      </c>
      <c r="B76">
        <v>0.08</v>
      </c>
      <c r="C76" t="s">
        <v>51</v>
      </c>
      <c r="D76" t="s">
        <v>52</v>
      </c>
      <c r="E76">
        <v>319.16000000000003</v>
      </c>
      <c r="F76">
        <v>91.95</v>
      </c>
      <c r="G76" t="s">
        <v>53</v>
      </c>
      <c r="H76" t="s">
        <v>54</v>
      </c>
      <c r="I76">
        <v>1</v>
      </c>
      <c r="J76" t="s">
        <v>55</v>
      </c>
      <c r="K76">
        <v>5</v>
      </c>
      <c r="L76" t="s">
        <v>56</v>
      </c>
    </row>
    <row r="77" spans="1:12" x14ac:dyDescent="0.45">
      <c r="A77" t="s">
        <v>10</v>
      </c>
      <c r="B77">
        <v>2.5</v>
      </c>
      <c r="C77" t="s">
        <v>51</v>
      </c>
      <c r="D77" t="s">
        <v>52</v>
      </c>
      <c r="E77">
        <v>725.29</v>
      </c>
      <c r="F77">
        <v>95.79</v>
      </c>
      <c r="G77" t="s">
        <v>53</v>
      </c>
      <c r="H77" t="s">
        <v>54</v>
      </c>
      <c r="I77">
        <v>1</v>
      </c>
      <c r="J77" t="s">
        <v>55</v>
      </c>
      <c r="K77">
        <v>5</v>
      </c>
      <c r="L77" t="s">
        <v>56</v>
      </c>
    </row>
    <row r="78" spans="1:12" x14ac:dyDescent="0.45">
      <c r="A78" t="s">
        <v>10</v>
      </c>
      <c r="B78">
        <v>3</v>
      </c>
      <c r="C78" t="s">
        <v>51</v>
      </c>
      <c r="D78" t="s">
        <v>52</v>
      </c>
      <c r="E78">
        <v>483.91</v>
      </c>
      <c r="F78">
        <v>95.79</v>
      </c>
      <c r="G78" t="s">
        <v>53</v>
      </c>
      <c r="H78" t="s">
        <v>54</v>
      </c>
      <c r="I78">
        <v>1</v>
      </c>
      <c r="J78" t="s">
        <v>55</v>
      </c>
      <c r="K78">
        <v>5</v>
      </c>
      <c r="L78" t="s">
        <v>56</v>
      </c>
    </row>
    <row r="79" spans="1:12" x14ac:dyDescent="0.45">
      <c r="A79" t="s">
        <v>10</v>
      </c>
      <c r="B79">
        <v>3.5</v>
      </c>
      <c r="C79" t="s">
        <v>51</v>
      </c>
      <c r="D79" t="s">
        <v>52</v>
      </c>
      <c r="E79">
        <v>717.62</v>
      </c>
      <c r="F79">
        <v>95.79</v>
      </c>
      <c r="G79" t="s">
        <v>53</v>
      </c>
      <c r="H79" t="s">
        <v>54</v>
      </c>
      <c r="I79">
        <v>1</v>
      </c>
      <c r="J79" t="s">
        <v>55</v>
      </c>
      <c r="K79">
        <v>5</v>
      </c>
      <c r="L79" t="s">
        <v>56</v>
      </c>
    </row>
    <row r="80" spans="1:12" x14ac:dyDescent="0.45">
      <c r="A80" t="s">
        <v>10</v>
      </c>
      <c r="B80">
        <v>0.08</v>
      </c>
      <c r="C80" t="s">
        <v>57</v>
      </c>
      <c r="D80" t="s">
        <v>52</v>
      </c>
      <c r="E80">
        <v>422.15</v>
      </c>
      <c r="F80">
        <v>84.34</v>
      </c>
      <c r="G80" t="s">
        <v>53</v>
      </c>
      <c r="H80" t="s">
        <v>54</v>
      </c>
      <c r="I80">
        <v>1</v>
      </c>
      <c r="J80" t="s">
        <v>58</v>
      </c>
      <c r="K80">
        <v>5</v>
      </c>
      <c r="L80" t="s">
        <v>56</v>
      </c>
    </row>
    <row r="81" spans="1:12" x14ac:dyDescent="0.45">
      <c r="A81" t="s">
        <v>10</v>
      </c>
      <c r="B81">
        <v>2.5</v>
      </c>
      <c r="C81" t="s">
        <v>57</v>
      </c>
      <c r="D81" t="s">
        <v>52</v>
      </c>
      <c r="E81">
        <v>748.03</v>
      </c>
      <c r="F81">
        <v>86.26</v>
      </c>
      <c r="G81" t="s">
        <v>53</v>
      </c>
      <c r="H81" t="s">
        <v>54</v>
      </c>
      <c r="I81">
        <v>1</v>
      </c>
      <c r="J81" t="s">
        <v>58</v>
      </c>
      <c r="K81">
        <v>5</v>
      </c>
      <c r="L81" t="s">
        <v>56</v>
      </c>
    </row>
    <row r="82" spans="1:12" x14ac:dyDescent="0.45">
      <c r="A82" t="s">
        <v>10</v>
      </c>
      <c r="B82">
        <v>3</v>
      </c>
      <c r="C82" t="s">
        <v>57</v>
      </c>
      <c r="D82" t="s">
        <v>52</v>
      </c>
      <c r="E82">
        <v>713.53</v>
      </c>
      <c r="F82">
        <v>84.34</v>
      </c>
      <c r="G82" t="s">
        <v>53</v>
      </c>
      <c r="H82" t="s">
        <v>54</v>
      </c>
      <c r="I82">
        <v>1</v>
      </c>
      <c r="J82" t="s">
        <v>58</v>
      </c>
      <c r="K82">
        <v>5</v>
      </c>
      <c r="L82" t="s">
        <v>56</v>
      </c>
    </row>
    <row r="83" spans="1:12" x14ac:dyDescent="0.45">
      <c r="A83" t="s">
        <v>10</v>
      </c>
      <c r="B83">
        <v>3.5</v>
      </c>
      <c r="C83" t="s">
        <v>57</v>
      </c>
      <c r="D83" t="s">
        <v>52</v>
      </c>
      <c r="E83">
        <v>836.21</v>
      </c>
      <c r="F83">
        <v>82.43</v>
      </c>
      <c r="G83" t="s">
        <v>53</v>
      </c>
      <c r="H83" t="s">
        <v>54</v>
      </c>
      <c r="I83">
        <v>1</v>
      </c>
      <c r="J83" t="s">
        <v>58</v>
      </c>
      <c r="K83">
        <v>5</v>
      </c>
      <c r="L83" t="s">
        <v>56</v>
      </c>
    </row>
    <row r="84" spans="1:12" x14ac:dyDescent="0.45">
      <c r="A84" t="s">
        <v>10</v>
      </c>
      <c r="B84">
        <v>0.08</v>
      </c>
      <c r="C84" t="s">
        <v>59</v>
      </c>
      <c r="D84" t="s">
        <v>52</v>
      </c>
      <c r="E84">
        <v>454.47</v>
      </c>
      <c r="F84">
        <v>68.3</v>
      </c>
      <c r="G84" t="s">
        <v>53</v>
      </c>
      <c r="H84" t="s">
        <v>54</v>
      </c>
      <c r="I84">
        <v>1</v>
      </c>
      <c r="J84" t="s">
        <v>60</v>
      </c>
      <c r="K84">
        <v>5</v>
      </c>
      <c r="L84" t="s">
        <v>56</v>
      </c>
    </row>
    <row r="85" spans="1:12" x14ac:dyDescent="0.45">
      <c r="A85" t="s">
        <v>10</v>
      </c>
      <c r="B85">
        <v>2.5</v>
      </c>
      <c r="C85" t="s">
        <v>59</v>
      </c>
      <c r="D85" t="s">
        <v>52</v>
      </c>
      <c r="E85">
        <v>837.9</v>
      </c>
      <c r="F85">
        <v>65.900000000000006</v>
      </c>
      <c r="G85" t="s">
        <v>53</v>
      </c>
      <c r="H85" t="s">
        <v>54</v>
      </c>
      <c r="I85">
        <v>1</v>
      </c>
      <c r="J85" t="s">
        <v>60</v>
      </c>
      <c r="K85">
        <v>5</v>
      </c>
      <c r="L85" t="s">
        <v>56</v>
      </c>
    </row>
    <row r="86" spans="1:12" x14ac:dyDescent="0.45">
      <c r="A86" t="s">
        <v>10</v>
      </c>
      <c r="B86">
        <v>3</v>
      </c>
      <c r="C86" t="s">
        <v>59</v>
      </c>
      <c r="D86" t="s">
        <v>52</v>
      </c>
      <c r="E86">
        <v>837.9</v>
      </c>
      <c r="F86">
        <v>68.3</v>
      </c>
      <c r="G86" t="s">
        <v>53</v>
      </c>
      <c r="H86" t="s">
        <v>54</v>
      </c>
      <c r="I86">
        <v>1</v>
      </c>
      <c r="J86" t="s">
        <v>60</v>
      </c>
      <c r="K86">
        <v>5</v>
      </c>
      <c r="L86" t="s">
        <v>56</v>
      </c>
    </row>
    <row r="87" spans="1:12" x14ac:dyDescent="0.45">
      <c r="A87" t="s">
        <v>10</v>
      </c>
      <c r="B87">
        <v>3.5</v>
      </c>
      <c r="C87" t="s">
        <v>59</v>
      </c>
      <c r="D87" t="s">
        <v>52</v>
      </c>
      <c r="E87">
        <v>809.14</v>
      </c>
      <c r="F87">
        <v>64.7</v>
      </c>
      <c r="G87" t="s">
        <v>53</v>
      </c>
      <c r="H87" t="s">
        <v>54</v>
      </c>
      <c r="I87">
        <v>1</v>
      </c>
      <c r="J87" t="s">
        <v>60</v>
      </c>
      <c r="K87">
        <v>5</v>
      </c>
      <c r="L87" t="s">
        <v>56</v>
      </c>
    </row>
    <row r="88" spans="1:12" x14ac:dyDescent="0.45">
      <c r="A88" t="s">
        <v>10</v>
      </c>
      <c r="B88">
        <v>0.08</v>
      </c>
      <c r="C88" t="s">
        <v>51</v>
      </c>
      <c r="D88" t="s">
        <v>61</v>
      </c>
      <c r="E88">
        <v>15.96</v>
      </c>
      <c r="F88">
        <v>2.87</v>
      </c>
      <c r="G88" t="s">
        <v>53</v>
      </c>
      <c r="H88" t="s">
        <v>54</v>
      </c>
      <c r="I88">
        <v>2</v>
      </c>
      <c r="J88" t="s">
        <v>55</v>
      </c>
      <c r="K88">
        <v>6</v>
      </c>
      <c r="L88" t="s">
        <v>56</v>
      </c>
    </row>
    <row r="89" spans="1:12" x14ac:dyDescent="0.45">
      <c r="A89" t="s">
        <v>10</v>
      </c>
      <c r="B89">
        <v>2.5</v>
      </c>
      <c r="C89" t="s">
        <v>51</v>
      </c>
      <c r="D89" t="s">
        <v>61</v>
      </c>
      <c r="E89">
        <v>34.729999999999997</v>
      </c>
      <c r="F89">
        <v>2.87</v>
      </c>
      <c r="G89" t="s">
        <v>53</v>
      </c>
      <c r="H89" t="s">
        <v>54</v>
      </c>
      <c r="I89">
        <v>2</v>
      </c>
      <c r="J89" t="s">
        <v>55</v>
      </c>
      <c r="K89">
        <v>6</v>
      </c>
      <c r="L89" t="s">
        <v>56</v>
      </c>
    </row>
    <row r="90" spans="1:12" x14ac:dyDescent="0.45">
      <c r="A90" t="s">
        <v>10</v>
      </c>
      <c r="B90">
        <v>3</v>
      </c>
      <c r="C90" t="s">
        <v>51</v>
      </c>
      <c r="D90" t="s">
        <v>61</v>
      </c>
      <c r="E90">
        <v>37.799999999999997</v>
      </c>
      <c r="F90">
        <v>2.87</v>
      </c>
      <c r="G90" t="s">
        <v>53</v>
      </c>
      <c r="H90" t="s">
        <v>54</v>
      </c>
      <c r="I90">
        <v>2</v>
      </c>
      <c r="J90" t="s">
        <v>55</v>
      </c>
      <c r="K90">
        <v>6</v>
      </c>
      <c r="L90" t="s">
        <v>56</v>
      </c>
    </row>
    <row r="91" spans="1:12" x14ac:dyDescent="0.45">
      <c r="A91" t="s">
        <v>10</v>
      </c>
      <c r="B91">
        <v>3.5</v>
      </c>
      <c r="C91" t="s">
        <v>51</v>
      </c>
      <c r="D91" t="s">
        <v>61</v>
      </c>
      <c r="E91">
        <v>38.75</v>
      </c>
      <c r="F91">
        <v>2.97</v>
      </c>
      <c r="G91" t="s">
        <v>53</v>
      </c>
      <c r="H91" t="s">
        <v>54</v>
      </c>
      <c r="I91">
        <v>2</v>
      </c>
      <c r="J91" t="s">
        <v>55</v>
      </c>
      <c r="K91">
        <v>6</v>
      </c>
      <c r="L91" t="s">
        <v>56</v>
      </c>
    </row>
    <row r="92" spans="1:12" x14ac:dyDescent="0.45">
      <c r="A92" t="s">
        <v>10</v>
      </c>
      <c r="B92">
        <v>0.08</v>
      </c>
      <c r="C92" t="s">
        <v>57</v>
      </c>
      <c r="D92" t="s">
        <v>61</v>
      </c>
      <c r="E92">
        <v>16.12</v>
      </c>
      <c r="F92">
        <v>2.59</v>
      </c>
      <c r="G92" t="s">
        <v>53</v>
      </c>
      <c r="H92" t="s">
        <v>54</v>
      </c>
      <c r="I92">
        <v>2</v>
      </c>
      <c r="J92" t="s">
        <v>58</v>
      </c>
      <c r="K92">
        <v>6</v>
      </c>
      <c r="L92" t="s">
        <v>56</v>
      </c>
    </row>
    <row r="93" spans="1:12" x14ac:dyDescent="0.45">
      <c r="A93" t="s">
        <v>10</v>
      </c>
      <c r="B93">
        <v>2.5</v>
      </c>
      <c r="C93" t="s">
        <v>57</v>
      </c>
      <c r="D93" t="s">
        <v>61</v>
      </c>
      <c r="E93">
        <v>20.14</v>
      </c>
      <c r="F93">
        <v>2.66</v>
      </c>
      <c r="G93" t="s">
        <v>53</v>
      </c>
      <c r="H93" t="s">
        <v>54</v>
      </c>
      <c r="I93">
        <v>2</v>
      </c>
      <c r="J93" t="s">
        <v>58</v>
      </c>
      <c r="K93">
        <v>6</v>
      </c>
      <c r="L93" t="s">
        <v>56</v>
      </c>
    </row>
    <row r="94" spans="1:12" x14ac:dyDescent="0.45">
      <c r="A94" t="s">
        <v>10</v>
      </c>
      <c r="B94">
        <v>3</v>
      </c>
      <c r="C94" t="s">
        <v>57</v>
      </c>
      <c r="D94" t="s">
        <v>61</v>
      </c>
      <c r="E94">
        <v>25.89</v>
      </c>
      <c r="F94">
        <v>2.66</v>
      </c>
      <c r="G94" t="s">
        <v>53</v>
      </c>
      <c r="H94" t="s">
        <v>54</v>
      </c>
      <c r="I94">
        <v>2</v>
      </c>
      <c r="J94" t="s">
        <v>58</v>
      </c>
      <c r="K94">
        <v>6</v>
      </c>
      <c r="L94" t="s">
        <v>56</v>
      </c>
    </row>
    <row r="95" spans="1:12" x14ac:dyDescent="0.45">
      <c r="A95" t="s">
        <v>10</v>
      </c>
      <c r="B95">
        <v>3.5</v>
      </c>
      <c r="C95" t="s">
        <v>57</v>
      </c>
      <c r="D95" t="s">
        <v>61</v>
      </c>
      <c r="E95">
        <v>27.76</v>
      </c>
      <c r="F95">
        <v>2.59</v>
      </c>
      <c r="G95" t="s">
        <v>53</v>
      </c>
      <c r="H95" t="s">
        <v>54</v>
      </c>
      <c r="I95">
        <v>2</v>
      </c>
      <c r="J95" t="s">
        <v>58</v>
      </c>
      <c r="K95">
        <v>6</v>
      </c>
      <c r="L95" t="s">
        <v>56</v>
      </c>
    </row>
    <row r="96" spans="1:12" x14ac:dyDescent="0.45">
      <c r="A96" t="s">
        <v>10</v>
      </c>
      <c r="B96">
        <v>0.08</v>
      </c>
      <c r="C96" t="s">
        <v>59</v>
      </c>
      <c r="D96" t="s">
        <v>61</v>
      </c>
      <c r="E96">
        <v>14.03</v>
      </c>
      <c r="F96">
        <v>2.0099999999999998</v>
      </c>
      <c r="G96" t="s">
        <v>53</v>
      </c>
      <c r="H96" t="s">
        <v>54</v>
      </c>
      <c r="I96">
        <v>2</v>
      </c>
      <c r="J96" t="s">
        <v>60</v>
      </c>
      <c r="K96">
        <v>6</v>
      </c>
      <c r="L96" t="s">
        <v>56</v>
      </c>
    </row>
    <row r="97" spans="1:12" x14ac:dyDescent="0.45">
      <c r="A97" t="s">
        <v>10</v>
      </c>
      <c r="B97">
        <v>2.5</v>
      </c>
      <c r="C97" t="s">
        <v>59</v>
      </c>
      <c r="D97" t="s">
        <v>61</v>
      </c>
      <c r="E97">
        <v>23.67</v>
      </c>
      <c r="F97">
        <v>1.94</v>
      </c>
      <c r="G97" t="s">
        <v>53</v>
      </c>
      <c r="H97" t="s">
        <v>54</v>
      </c>
      <c r="I97">
        <v>2</v>
      </c>
      <c r="J97" t="s">
        <v>60</v>
      </c>
      <c r="K97">
        <v>6</v>
      </c>
      <c r="L97" t="s">
        <v>56</v>
      </c>
    </row>
    <row r="98" spans="1:12" x14ac:dyDescent="0.45">
      <c r="A98" t="s">
        <v>10</v>
      </c>
      <c r="B98">
        <v>3</v>
      </c>
      <c r="C98" t="s">
        <v>59</v>
      </c>
      <c r="D98" t="s">
        <v>61</v>
      </c>
      <c r="E98">
        <v>22.8</v>
      </c>
      <c r="F98">
        <v>2.0099999999999998</v>
      </c>
      <c r="G98" t="s">
        <v>53</v>
      </c>
      <c r="H98" t="s">
        <v>54</v>
      </c>
      <c r="I98">
        <v>2</v>
      </c>
      <c r="J98" t="s">
        <v>60</v>
      </c>
      <c r="K98">
        <v>6</v>
      </c>
      <c r="L98" t="s">
        <v>56</v>
      </c>
    </row>
    <row r="99" spans="1:12" x14ac:dyDescent="0.45">
      <c r="A99" t="s">
        <v>10</v>
      </c>
      <c r="B99">
        <v>3.5</v>
      </c>
      <c r="C99" t="s">
        <v>59</v>
      </c>
      <c r="D99" t="s">
        <v>61</v>
      </c>
      <c r="E99">
        <v>29.13</v>
      </c>
      <c r="F99">
        <v>2.0099999999999998</v>
      </c>
      <c r="G99" t="s">
        <v>53</v>
      </c>
      <c r="H99" t="s">
        <v>54</v>
      </c>
      <c r="I99">
        <v>2</v>
      </c>
      <c r="J99" t="s">
        <v>60</v>
      </c>
      <c r="K99">
        <v>6</v>
      </c>
      <c r="L99" t="s">
        <v>56</v>
      </c>
    </row>
  </sheetData>
  <autoFilter ref="A3:L3" xr:uid="{DD8C19C1-A04A-491D-9968-DEDC95C2A8FF}">
    <sortState xmlns:xlrd2="http://schemas.microsoft.com/office/spreadsheetml/2017/richdata2" ref="A4:L99">
      <sortCondition ref="A3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5B3D-F032-40D7-A44F-48B340099DE1}">
  <dimension ref="A1:L39"/>
  <sheetViews>
    <sheetView workbookViewId="0"/>
  </sheetViews>
  <sheetFormatPr defaultRowHeight="14.25" x14ac:dyDescent="0.45"/>
  <sheetData>
    <row r="1" spans="1:12" x14ac:dyDescent="0.45">
      <c r="A1" t="s">
        <v>62</v>
      </c>
    </row>
    <row r="2" spans="1:12" x14ac:dyDescent="0.45">
      <c r="A2" t="s">
        <v>63</v>
      </c>
    </row>
    <row r="3" spans="1:12" x14ac:dyDescent="0.45">
      <c r="A3" t="s">
        <v>64</v>
      </c>
      <c r="B3" t="s">
        <v>65</v>
      </c>
      <c r="C3" t="s">
        <v>66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49</v>
      </c>
      <c r="L3" t="s">
        <v>50</v>
      </c>
    </row>
    <row r="4" spans="1:12" x14ac:dyDescent="0.45">
      <c r="A4" t="s">
        <v>67</v>
      </c>
      <c r="B4">
        <v>0</v>
      </c>
      <c r="C4" t="b">
        <v>0</v>
      </c>
      <c r="D4" t="s">
        <v>59</v>
      </c>
      <c r="E4" t="s">
        <v>52</v>
      </c>
      <c r="F4">
        <v>7.9960000000000004</v>
      </c>
      <c r="G4">
        <v>3.8879999999999999</v>
      </c>
      <c r="H4" t="s">
        <v>68</v>
      </c>
      <c r="I4" t="s">
        <v>69</v>
      </c>
      <c r="J4">
        <v>1</v>
      </c>
      <c r="K4">
        <v>6</v>
      </c>
      <c r="L4" t="s">
        <v>70</v>
      </c>
    </row>
    <row r="5" spans="1:12" x14ac:dyDescent="0.45">
      <c r="A5" t="s">
        <v>67</v>
      </c>
      <c r="B5">
        <v>0</v>
      </c>
      <c r="C5" t="b">
        <v>0</v>
      </c>
      <c r="D5" t="s">
        <v>57</v>
      </c>
      <c r="E5" t="s">
        <v>52</v>
      </c>
      <c r="F5">
        <v>11.977</v>
      </c>
      <c r="G5">
        <v>7.9450000000000003</v>
      </c>
      <c r="H5" t="s">
        <v>68</v>
      </c>
      <c r="I5" t="s">
        <v>69</v>
      </c>
      <c r="J5">
        <v>1</v>
      </c>
      <c r="K5">
        <v>6</v>
      </c>
      <c r="L5" t="s">
        <v>70</v>
      </c>
    </row>
    <row r="6" spans="1:12" x14ac:dyDescent="0.45">
      <c r="A6" t="s">
        <v>67</v>
      </c>
      <c r="B6">
        <v>0</v>
      </c>
      <c r="C6" t="b">
        <v>0</v>
      </c>
      <c r="D6" t="s">
        <v>51</v>
      </c>
      <c r="E6" t="s">
        <v>52</v>
      </c>
      <c r="F6">
        <v>40.002000000000002</v>
      </c>
      <c r="G6">
        <v>3.3039999999999998</v>
      </c>
      <c r="H6" t="s">
        <v>68</v>
      </c>
      <c r="I6" t="s">
        <v>69</v>
      </c>
      <c r="J6">
        <v>1</v>
      </c>
      <c r="K6">
        <v>6</v>
      </c>
      <c r="L6" t="s">
        <v>70</v>
      </c>
    </row>
    <row r="7" spans="1:12" x14ac:dyDescent="0.45">
      <c r="A7" t="s">
        <v>71</v>
      </c>
      <c r="B7">
        <v>0</v>
      </c>
      <c r="C7" t="b">
        <v>1</v>
      </c>
      <c r="D7" t="s">
        <v>59</v>
      </c>
      <c r="E7" t="s">
        <v>52</v>
      </c>
      <c r="F7">
        <v>7.5979999999999999</v>
      </c>
      <c r="G7">
        <v>3.891</v>
      </c>
      <c r="H7" t="s">
        <v>68</v>
      </c>
      <c r="I7" t="s">
        <v>69</v>
      </c>
      <c r="J7">
        <v>1</v>
      </c>
      <c r="K7">
        <v>6</v>
      </c>
      <c r="L7" t="s">
        <v>70</v>
      </c>
    </row>
    <row r="8" spans="1:12" x14ac:dyDescent="0.45">
      <c r="A8" t="s">
        <v>71</v>
      </c>
      <c r="B8">
        <v>0</v>
      </c>
      <c r="C8" t="b">
        <v>1</v>
      </c>
      <c r="D8" t="s">
        <v>57</v>
      </c>
      <c r="E8" t="s">
        <v>52</v>
      </c>
      <c r="F8">
        <v>12.215999999999999</v>
      </c>
      <c r="G8">
        <v>7.9450000000000003</v>
      </c>
      <c r="H8" t="s">
        <v>68</v>
      </c>
      <c r="I8" t="s">
        <v>69</v>
      </c>
      <c r="J8">
        <v>1</v>
      </c>
      <c r="K8">
        <v>6</v>
      </c>
      <c r="L8" t="s">
        <v>70</v>
      </c>
    </row>
    <row r="9" spans="1:12" x14ac:dyDescent="0.45">
      <c r="A9" t="s">
        <v>71</v>
      </c>
      <c r="B9">
        <v>0</v>
      </c>
      <c r="C9" t="b">
        <v>1</v>
      </c>
      <c r="D9" t="s">
        <v>51</v>
      </c>
      <c r="E9" t="s">
        <v>52</v>
      </c>
      <c r="F9">
        <v>43.186</v>
      </c>
      <c r="G9">
        <v>3.3069999999999999</v>
      </c>
      <c r="H9" t="s">
        <v>68</v>
      </c>
      <c r="I9" t="s">
        <v>69</v>
      </c>
      <c r="J9">
        <v>1</v>
      </c>
      <c r="K9">
        <v>6</v>
      </c>
      <c r="L9" t="s">
        <v>70</v>
      </c>
    </row>
    <row r="10" spans="1:12" x14ac:dyDescent="0.45">
      <c r="A10" t="s">
        <v>72</v>
      </c>
      <c r="B10">
        <v>20</v>
      </c>
      <c r="C10" t="b">
        <v>1</v>
      </c>
      <c r="D10" t="s">
        <v>59</v>
      </c>
      <c r="E10" t="s">
        <v>52</v>
      </c>
      <c r="F10">
        <v>14.286</v>
      </c>
      <c r="G10">
        <v>3.8879999999999999</v>
      </c>
      <c r="H10" t="s">
        <v>68</v>
      </c>
      <c r="I10" t="s">
        <v>69</v>
      </c>
      <c r="J10">
        <v>1</v>
      </c>
      <c r="K10">
        <v>6</v>
      </c>
      <c r="L10" t="s">
        <v>70</v>
      </c>
    </row>
    <row r="11" spans="1:12" x14ac:dyDescent="0.45">
      <c r="A11" t="s">
        <v>72</v>
      </c>
      <c r="B11">
        <v>20</v>
      </c>
      <c r="C11" t="b">
        <v>1</v>
      </c>
      <c r="D11" t="s">
        <v>57</v>
      </c>
      <c r="E11" t="s">
        <v>52</v>
      </c>
      <c r="F11">
        <v>47.884</v>
      </c>
      <c r="G11">
        <v>7.9450000000000003</v>
      </c>
      <c r="H11" t="s">
        <v>68</v>
      </c>
      <c r="I11" t="s">
        <v>69</v>
      </c>
      <c r="J11">
        <v>1</v>
      </c>
      <c r="K11">
        <v>6</v>
      </c>
      <c r="L11" t="s">
        <v>70</v>
      </c>
    </row>
    <row r="12" spans="1:12" x14ac:dyDescent="0.45">
      <c r="A12" t="s">
        <v>72</v>
      </c>
      <c r="B12">
        <v>20</v>
      </c>
      <c r="C12" t="b">
        <v>1</v>
      </c>
      <c r="D12" t="s">
        <v>51</v>
      </c>
      <c r="E12" t="s">
        <v>52</v>
      </c>
      <c r="F12">
        <v>49.475999999999999</v>
      </c>
      <c r="G12">
        <v>3.3069999999999999</v>
      </c>
      <c r="H12" t="s">
        <v>68</v>
      </c>
      <c r="I12" t="s">
        <v>69</v>
      </c>
      <c r="J12">
        <v>1</v>
      </c>
      <c r="K12">
        <v>6</v>
      </c>
      <c r="L12" t="s">
        <v>70</v>
      </c>
    </row>
    <row r="13" spans="1:12" x14ac:dyDescent="0.45">
      <c r="A13" t="s">
        <v>73</v>
      </c>
      <c r="B13">
        <v>25</v>
      </c>
      <c r="C13" t="b">
        <v>1</v>
      </c>
      <c r="D13" t="s">
        <v>59</v>
      </c>
      <c r="E13" t="s">
        <v>52</v>
      </c>
      <c r="F13">
        <v>17.63</v>
      </c>
      <c r="G13">
        <v>3.8879999999999999</v>
      </c>
      <c r="H13" t="s">
        <v>68</v>
      </c>
      <c r="I13" t="s">
        <v>69</v>
      </c>
      <c r="J13">
        <v>1</v>
      </c>
      <c r="K13">
        <v>6</v>
      </c>
      <c r="L13" t="s">
        <v>70</v>
      </c>
    </row>
    <row r="14" spans="1:12" x14ac:dyDescent="0.45">
      <c r="A14" t="s">
        <v>73</v>
      </c>
      <c r="B14">
        <v>25</v>
      </c>
      <c r="C14" t="b">
        <v>1</v>
      </c>
      <c r="D14" t="s">
        <v>57</v>
      </c>
      <c r="E14" t="s">
        <v>52</v>
      </c>
      <c r="F14">
        <v>47.963000000000001</v>
      </c>
      <c r="G14">
        <v>7.9450000000000003</v>
      </c>
      <c r="H14" t="s">
        <v>68</v>
      </c>
      <c r="I14" t="s">
        <v>69</v>
      </c>
      <c r="J14">
        <v>1</v>
      </c>
      <c r="K14">
        <v>6</v>
      </c>
      <c r="L14" t="s">
        <v>70</v>
      </c>
    </row>
    <row r="15" spans="1:12" x14ac:dyDescent="0.45">
      <c r="A15" t="s">
        <v>73</v>
      </c>
      <c r="B15">
        <v>25</v>
      </c>
      <c r="C15" t="b">
        <v>1</v>
      </c>
      <c r="D15" t="s">
        <v>51</v>
      </c>
      <c r="E15" t="s">
        <v>52</v>
      </c>
      <c r="F15">
        <v>56.164000000000001</v>
      </c>
      <c r="G15">
        <v>3.3069999999999999</v>
      </c>
      <c r="H15" t="s">
        <v>68</v>
      </c>
      <c r="I15" t="s">
        <v>69</v>
      </c>
      <c r="J15">
        <v>1</v>
      </c>
      <c r="K15">
        <v>6</v>
      </c>
      <c r="L15" t="s">
        <v>70</v>
      </c>
    </row>
    <row r="16" spans="1:12" x14ac:dyDescent="0.45">
      <c r="A16" t="s">
        <v>74</v>
      </c>
      <c r="B16">
        <v>30</v>
      </c>
      <c r="C16" t="b">
        <v>1</v>
      </c>
      <c r="D16" t="s">
        <v>59</v>
      </c>
      <c r="E16" t="s">
        <v>52</v>
      </c>
      <c r="F16">
        <v>26.228000000000002</v>
      </c>
      <c r="G16">
        <v>3.891</v>
      </c>
      <c r="H16" t="s">
        <v>68</v>
      </c>
      <c r="I16" t="s">
        <v>69</v>
      </c>
      <c r="J16">
        <v>1</v>
      </c>
      <c r="K16">
        <v>6</v>
      </c>
      <c r="L16" t="s">
        <v>70</v>
      </c>
    </row>
    <row r="17" spans="1:12" x14ac:dyDescent="0.45">
      <c r="A17" t="s">
        <v>74</v>
      </c>
      <c r="B17">
        <v>30</v>
      </c>
      <c r="C17" t="b">
        <v>1</v>
      </c>
      <c r="D17" t="s">
        <v>57</v>
      </c>
      <c r="E17" t="s">
        <v>52</v>
      </c>
      <c r="F17">
        <v>50.192999999999998</v>
      </c>
      <c r="G17">
        <v>7.9450000000000003</v>
      </c>
      <c r="H17" t="s">
        <v>68</v>
      </c>
      <c r="I17" t="s">
        <v>69</v>
      </c>
      <c r="J17">
        <v>1</v>
      </c>
      <c r="K17">
        <v>6</v>
      </c>
      <c r="L17" t="s">
        <v>70</v>
      </c>
    </row>
    <row r="18" spans="1:12" x14ac:dyDescent="0.45">
      <c r="A18" t="s">
        <v>74</v>
      </c>
      <c r="B18">
        <v>30</v>
      </c>
      <c r="C18" t="b">
        <v>1</v>
      </c>
      <c r="D18" t="s">
        <v>51</v>
      </c>
      <c r="E18" t="s">
        <v>52</v>
      </c>
      <c r="F18">
        <v>56.96</v>
      </c>
      <c r="G18">
        <v>3.3039999999999998</v>
      </c>
      <c r="H18" t="s">
        <v>68</v>
      </c>
      <c r="I18" t="s">
        <v>69</v>
      </c>
      <c r="J18">
        <v>1</v>
      </c>
      <c r="K18">
        <v>6</v>
      </c>
      <c r="L18" t="s">
        <v>70</v>
      </c>
    </row>
    <row r="19" spans="1:12" x14ac:dyDescent="0.45">
      <c r="A19" t="s">
        <v>75</v>
      </c>
      <c r="B19">
        <v>35</v>
      </c>
      <c r="C19" t="b">
        <v>1</v>
      </c>
      <c r="D19" t="s">
        <v>59</v>
      </c>
      <c r="E19" t="s">
        <v>52</v>
      </c>
      <c r="F19">
        <v>30.925000000000001</v>
      </c>
      <c r="G19">
        <v>3.8879999999999999</v>
      </c>
      <c r="H19" t="s">
        <v>68</v>
      </c>
      <c r="I19" t="s">
        <v>69</v>
      </c>
      <c r="J19">
        <v>1</v>
      </c>
      <c r="K19">
        <v>6</v>
      </c>
      <c r="L19" t="s">
        <v>70</v>
      </c>
    </row>
    <row r="20" spans="1:12" x14ac:dyDescent="0.45">
      <c r="A20" t="s">
        <v>75</v>
      </c>
      <c r="B20">
        <v>35</v>
      </c>
      <c r="C20" t="b">
        <v>1</v>
      </c>
      <c r="D20" t="s">
        <v>57</v>
      </c>
      <c r="E20" t="s">
        <v>52</v>
      </c>
      <c r="F20">
        <v>52.502000000000002</v>
      </c>
      <c r="G20">
        <v>7.9450000000000003</v>
      </c>
      <c r="H20" t="s">
        <v>68</v>
      </c>
      <c r="I20" t="s">
        <v>69</v>
      </c>
      <c r="J20">
        <v>1</v>
      </c>
      <c r="K20">
        <v>6</v>
      </c>
      <c r="L20" t="s">
        <v>70</v>
      </c>
    </row>
    <row r="21" spans="1:12" x14ac:dyDescent="0.45">
      <c r="A21" t="s">
        <v>75</v>
      </c>
      <c r="B21">
        <v>35</v>
      </c>
      <c r="C21" t="b">
        <v>1</v>
      </c>
      <c r="D21" t="s">
        <v>51</v>
      </c>
      <c r="E21" t="s">
        <v>52</v>
      </c>
      <c r="F21">
        <v>59.984999999999999</v>
      </c>
      <c r="G21">
        <v>3.3039999999999998</v>
      </c>
      <c r="H21" t="s">
        <v>68</v>
      </c>
      <c r="I21" t="s">
        <v>69</v>
      </c>
      <c r="J21">
        <v>1</v>
      </c>
      <c r="K21">
        <v>6</v>
      </c>
      <c r="L21" t="s">
        <v>70</v>
      </c>
    </row>
    <row r="22" spans="1:12" x14ac:dyDescent="0.45">
      <c r="A22" t="s">
        <v>67</v>
      </c>
      <c r="B22">
        <v>0</v>
      </c>
      <c r="C22" t="b">
        <v>0</v>
      </c>
      <c r="D22" t="s">
        <v>59</v>
      </c>
      <c r="E22" t="s">
        <v>76</v>
      </c>
      <c r="F22">
        <v>32.991999999999997</v>
      </c>
      <c r="G22">
        <v>0.53100000000000003</v>
      </c>
      <c r="H22" t="s">
        <v>68</v>
      </c>
      <c r="I22" t="s">
        <v>69</v>
      </c>
      <c r="J22">
        <v>2</v>
      </c>
      <c r="K22">
        <v>7</v>
      </c>
      <c r="L22" t="s">
        <v>70</v>
      </c>
    </row>
    <row r="23" spans="1:12" x14ac:dyDescent="0.45">
      <c r="A23" t="s">
        <v>67</v>
      </c>
      <c r="B23">
        <v>0</v>
      </c>
      <c r="C23" t="b">
        <v>0</v>
      </c>
      <c r="D23" t="s">
        <v>57</v>
      </c>
      <c r="E23" t="s">
        <v>76</v>
      </c>
      <c r="F23">
        <v>15.015000000000001</v>
      </c>
      <c r="G23">
        <v>0.56399999999999995</v>
      </c>
      <c r="H23" t="s">
        <v>68</v>
      </c>
      <c r="I23" t="s">
        <v>69</v>
      </c>
      <c r="J23">
        <v>2</v>
      </c>
      <c r="K23">
        <v>7</v>
      </c>
      <c r="L23" t="s">
        <v>70</v>
      </c>
    </row>
    <row r="24" spans="1:12" x14ac:dyDescent="0.45">
      <c r="A24" t="s">
        <v>67</v>
      </c>
      <c r="B24">
        <v>0</v>
      </c>
      <c r="C24" t="b">
        <v>0</v>
      </c>
      <c r="D24" t="s">
        <v>51</v>
      </c>
      <c r="E24" t="s">
        <v>76</v>
      </c>
      <c r="F24">
        <v>19.98</v>
      </c>
      <c r="G24">
        <v>3.4220000000000002</v>
      </c>
      <c r="H24" t="s">
        <v>68</v>
      </c>
      <c r="I24" t="s">
        <v>69</v>
      </c>
      <c r="J24">
        <v>2</v>
      </c>
      <c r="K24">
        <v>7</v>
      </c>
      <c r="L24" t="s">
        <v>70</v>
      </c>
    </row>
    <row r="25" spans="1:12" x14ac:dyDescent="0.45">
      <c r="A25" t="s">
        <v>71</v>
      </c>
      <c r="B25">
        <v>0</v>
      </c>
      <c r="C25" t="b">
        <v>1</v>
      </c>
      <c r="D25" t="s">
        <v>59</v>
      </c>
      <c r="E25" t="s">
        <v>76</v>
      </c>
      <c r="F25">
        <v>32.307000000000002</v>
      </c>
      <c r="G25">
        <v>0.53100000000000003</v>
      </c>
      <c r="H25" t="s">
        <v>68</v>
      </c>
      <c r="I25" t="s">
        <v>69</v>
      </c>
      <c r="J25">
        <v>2</v>
      </c>
      <c r="K25">
        <v>7</v>
      </c>
      <c r="L25" t="s">
        <v>70</v>
      </c>
    </row>
    <row r="26" spans="1:12" x14ac:dyDescent="0.45">
      <c r="A26" t="s">
        <v>71</v>
      </c>
      <c r="B26">
        <v>0</v>
      </c>
      <c r="C26" t="b">
        <v>1</v>
      </c>
      <c r="D26" t="s">
        <v>57</v>
      </c>
      <c r="E26" t="s">
        <v>76</v>
      </c>
      <c r="F26">
        <v>15.401</v>
      </c>
      <c r="G26">
        <v>0.56499999999999995</v>
      </c>
      <c r="H26" t="s">
        <v>68</v>
      </c>
      <c r="I26" t="s">
        <v>69</v>
      </c>
      <c r="J26">
        <v>2</v>
      </c>
      <c r="K26">
        <v>7</v>
      </c>
      <c r="L26" t="s">
        <v>70</v>
      </c>
    </row>
    <row r="27" spans="1:12" x14ac:dyDescent="0.45">
      <c r="A27" t="s">
        <v>71</v>
      </c>
      <c r="B27">
        <v>0</v>
      </c>
      <c r="C27" t="b">
        <v>1</v>
      </c>
      <c r="D27" t="s">
        <v>51</v>
      </c>
      <c r="E27" t="s">
        <v>76</v>
      </c>
      <c r="F27">
        <v>22.376999999999999</v>
      </c>
      <c r="G27">
        <v>3.4220000000000002</v>
      </c>
      <c r="H27" t="s">
        <v>68</v>
      </c>
      <c r="I27" t="s">
        <v>69</v>
      </c>
      <c r="J27">
        <v>2</v>
      </c>
      <c r="K27">
        <v>7</v>
      </c>
      <c r="L27" t="s">
        <v>70</v>
      </c>
    </row>
    <row r="28" spans="1:12" x14ac:dyDescent="0.45">
      <c r="A28" t="s">
        <v>72</v>
      </c>
      <c r="B28">
        <v>20</v>
      </c>
      <c r="C28" t="b">
        <v>1</v>
      </c>
      <c r="D28" t="s">
        <v>59</v>
      </c>
      <c r="E28" t="s">
        <v>76</v>
      </c>
      <c r="F28">
        <v>31.28</v>
      </c>
      <c r="G28">
        <v>0.53100000000000003</v>
      </c>
      <c r="H28" t="s">
        <v>68</v>
      </c>
      <c r="I28" t="s">
        <v>69</v>
      </c>
      <c r="J28">
        <v>2</v>
      </c>
      <c r="K28">
        <v>7</v>
      </c>
      <c r="L28" t="s">
        <v>70</v>
      </c>
    </row>
    <row r="29" spans="1:12" x14ac:dyDescent="0.45">
      <c r="A29" t="s">
        <v>72</v>
      </c>
      <c r="B29">
        <v>20</v>
      </c>
      <c r="C29" t="b">
        <v>1</v>
      </c>
      <c r="D29" t="s">
        <v>57</v>
      </c>
      <c r="E29" t="s">
        <v>76</v>
      </c>
      <c r="F29">
        <v>14.416</v>
      </c>
      <c r="G29">
        <v>0.56499999999999995</v>
      </c>
      <c r="H29" t="s">
        <v>68</v>
      </c>
      <c r="I29" t="s">
        <v>69</v>
      </c>
      <c r="J29">
        <v>2</v>
      </c>
      <c r="K29">
        <v>7</v>
      </c>
      <c r="L29" t="s">
        <v>70</v>
      </c>
    </row>
    <row r="30" spans="1:12" x14ac:dyDescent="0.45">
      <c r="A30" t="s">
        <v>72</v>
      </c>
      <c r="B30">
        <v>20</v>
      </c>
      <c r="C30" t="b">
        <v>1</v>
      </c>
      <c r="D30" t="s">
        <v>51</v>
      </c>
      <c r="E30" t="s">
        <v>76</v>
      </c>
      <c r="F30">
        <v>18.012</v>
      </c>
      <c r="G30">
        <v>3.4209999999999998</v>
      </c>
      <c r="H30" t="s">
        <v>68</v>
      </c>
      <c r="I30" t="s">
        <v>69</v>
      </c>
      <c r="J30">
        <v>2</v>
      </c>
      <c r="K30">
        <v>7</v>
      </c>
      <c r="L30" t="s">
        <v>70</v>
      </c>
    </row>
    <row r="31" spans="1:12" x14ac:dyDescent="0.45">
      <c r="A31" t="s">
        <v>73</v>
      </c>
      <c r="B31">
        <v>25</v>
      </c>
      <c r="C31" t="b">
        <v>1</v>
      </c>
      <c r="D31" t="s">
        <v>59</v>
      </c>
      <c r="E31" t="s">
        <v>76</v>
      </c>
      <c r="F31">
        <v>31.707999999999998</v>
      </c>
      <c r="G31">
        <v>0.53100000000000003</v>
      </c>
      <c r="H31" t="s">
        <v>68</v>
      </c>
      <c r="I31" t="s">
        <v>69</v>
      </c>
      <c r="J31">
        <v>2</v>
      </c>
      <c r="K31">
        <v>7</v>
      </c>
      <c r="L31" t="s">
        <v>70</v>
      </c>
    </row>
    <row r="32" spans="1:12" x14ac:dyDescent="0.45">
      <c r="A32" t="s">
        <v>73</v>
      </c>
      <c r="B32">
        <v>25</v>
      </c>
      <c r="C32" t="b">
        <v>1</v>
      </c>
      <c r="D32" t="s">
        <v>57</v>
      </c>
      <c r="E32" t="s">
        <v>76</v>
      </c>
      <c r="F32">
        <v>16.899000000000001</v>
      </c>
      <c r="G32">
        <v>0.56499999999999995</v>
      </c>
      <c r="H32" t="s">
        <v>68</v>
      </c>
      <c r="I32" t="s">
        <v>69</v>
      </c>
      <c r="J32">
        <v>2</v>
      </c>
      <c r="K32">
        <v>7</v>
      </c>
      <c r="L32" t="s">
        <v>70</v>
      </c>
    </row>
    <row r="33" spans="1:12" x14ac:dyDescent="0.45">
      <c r="A33" t="s">
        <v>73</v>
      </c>
      <c r="B33">
        <v>25</v>
      </c>
      <c r="C33" t="b">
        <v>1</v>
      </c>
      <c r="D33" t="s">
        <v>51</v>
      </c>
      <c r="E33" t="s">
        <v>76</v>
      </c>
      <c r="F33">
        <v>18.396999999999998</v>
      </c>
      <c r="G33">
        <v>3.4220000000000002</v>
      </c>
      <c r="H33" t="s">
        <v>68</v>
      </c>
      <c r="I33" t="s">
        <v>69</v>
      </c>
      <c r="J33">
        <v>2</v>
      </c>
      <c r="K33">
        <v>7</v>
      </c>
      <c r="L33" t="s">
        <v>70</v>
      </c>
    </row>
    <row r="34" spans="1:12" x14ac:dyDescent="0.45">
      <c r="A34" t="s">
        <v>74</v>
      </c>
      <c r="B34">
        <v>30</v>
      </c>
      <c r="C34" t="b">
        <v>1</v>
      </c>
      <c r="D34" t="s">
        <v>59</v>
      </c>
      <c r="E34" t="s">
        <v>76</v>
      </c>
      <c r="F34">
        <v>30.21</v>
      </c>
      <c r="G34">
        <v>0.53100000000000003</v>
      </c>
      <c r="H34" t="s">
        <v>68</v>
      </c>
      <c r="I34" t="s">
        <v>69</v>
      </c>
      <c r="J34">
        <v>2</v>
      </c>
      <c r="K34">
        <v>7</v>
      </c>
      <c r="L34" t="s">
        <v>70</v>
      </c>
    </row>
    <row r="35" spans="1:12" x14ac:dyDescent="0.45">
      <c r="A35" t="s">
        <v>74</v>
      </c>
      <c r="B35">
        <v>30</v>
      </c>
      <c r="C35" t="b">
        <v>1</v>
      </c>
      <c r="D35" t="s">
        <v>57</v>
      </c>
      <c r="E35" t="s">
        <v>76</v>
      </c>
      <c r="F35">
        <v>16.684999999999999</v>
      </c>
      <c r="G35">
        <v>0.56499999999999995</v>
      </c>
      <c r="H35" t="s">
        <v>68</v>
      </c>
      <c r="I35" t="s">
        <v>69</v>
      </c>
      <c r="J35">
        <v>2</v>
      </c>
      <c r="K35">
        <v>7</v>
      </c>
      <c r="L35" t="s">
        <v>70</v>
      </c>
    </row>
    <row r="36" spans="1:12" x14ac:dyDescent="0.45">
      <c r="A36" t="s">
        <v>74</v>
      </c>
      <c r="B36">
        <v>30</v>
      </c>
      <c r="C36" t="b">
        <v>1</v>
      </c>
      <c r="D36" t="s">
        <v>51</v>
      </c>
      <c r="E36" t="s">
        <v>76</v>
      </c>
      <c r="F36">
        <v>31.879000000000001</v>
      </c>
      <c r="G36">
        <v>3.4220000000000002</v>
      </c>
      <c r="H36" t="s">
        <v>68</v>
      </c>
      <c r="I36" t="s">
        <v>69</v>
      </c>
      <c r="J36">
        <v>2</v>
      </c>
      <c r="K36">
        <v>7</v>
      </c>
      <c r="L36" t="s">
        <v>70</v>
      </c>
    </row>
    <row r="37" spans="1:12" x14ac:dyDescent="0.45">
      <c r="A37" t="s">
        <v>75</v>
      </c>
      <c r="B37">
        <v>35</v>
      </c>
      <c r="C37" t="b">
        <v>1</v>
      </c>
      <c r="D37" t="s">
        <v>59</v>
      </c>
      <c r="E37" t="s">
        <v>76</v>
      </c>
      <c r="F37">
        <v>33.890999999999998</v>
      </c>
      <c r="G37">
        <v>0.53300000000000003</v>
      </c>
      <c r="H37" t="s">
        <v>68</v>
      </c>
      <c r="I37" t="s">
        <v>69</v>
      </c>
      <c r="J37">
        <v>2</v>
      </c>
      <c r="K37">
        <v>7</v>
      </c>
      <c r="L37" t="s">
        <v>70</v>
      </c>
    </row>
    <row r="38" spans="1:12" x14ac:dyDescent="0.45">
      <c r="A38" t="s">
        <v>75</v>
      </c>
      <c r="B38">
        <v>35</v>
      </c>
      <c r="C38" t="b">
        <v>1</v>
      </c>
      <c r="D38" t="s">
        <v>57</v>
      </c>
      <c r="E38" t="s">
        <v>76</v>
      </c>
      <c r="F38">
        <v>18.097000000000001</v>
      </c>
      <c r="G38">
        <v>0.56499999999999995</v>
      </c>
      <c r="H38" t="s">
        <v>68</v>
      </c>
      <c r="I38" t="s">
        <v>69</v>
      </c>
      <c r="J38">
        <v>2</v>
      </c>
      <c r="K38">
        <v>7</v>
      </c>
      <c r="L38" t="s">
        <v>70</v>
      </c>
    </row>
    <row r="39" spans="1:12" x14ac:dyDescent="0.45">
      <c r="A39" t="s">
        <v>75</v>
      </c>
      <c r="B39">
        <v>35</v>
      </c>
      <c r="C39" t="b">
        <v>1</v>
      </c>
      <c r="D39" t="s">
        <v>51</v>
      </c>
      <c r="E39" t="s">
        <v>76</v>
      </c>
      <c r="F39">
        <v>38.384999999999998</v>
      </c>
      <c r="G39">
        <v>3.4220000000000002</v>
      </c>
      <c r="H39" t="s">
        <v>68</v>
      </c>
      <c r="I39" t="s">
        <v>69</v>
      </c>
      <c r="J39">
        <v>2</v>
      </c>
      <c r="K39">
        <v>7</v>
      </c>
      <c r="L39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7CC3-A6F7-4F33-954E-1ABFEA31911A}">
  <dimension ref="A1:K21"/>
  <sheetViews>
    <sheetView workbookViewId="0">
      <selection activeCell="H30" sqref="H30"/>
    </sheetView>
  </sheetViews>
  <sheetFormatPr defaultRowHeight="14.25" x14ac:dyDescent="0.45"/>
  <sheetData>
    <row r="1" spans="1:11" x14ac:dyDescent="0.45">
      <c r="A1" t="s">
        <v>77</v>
      </c>
    </row>
    <row r="2" spans="1:11" x14ac:dyDescent="0.45">
      <c r="A2" t="s">
        <v>78</v>
      </c>
    </row>
    <row r="3" spans="1:11" x14ac:dyDescent="0.45">
      <c r="A3" t="s">
        <v>42</v>
      </c>
      <c r="B3" t="s">
        <v>40</v>
      </c>
      <c r="C3" t="s">
        <v>79</v>
      </c>
      <c r="D3" t="s">
        <v>51</v>
      </c>
      <c r="E3" t="s">
        <v>57</v>
      </c>
      <c r="F3" t="s">
        <v>59</v>
      </c>
      <c r="G3" t="s">
        <v>80</v>
      </c>
      <c r="H3" t="s">
        <v>81</v>
      </c>
      <c r="I3" t="s">
        <v>82</v>
      </c>
      <c r="J3" t="s">
        <v>83</v>
      </c>
    </row>
    <row r="4" spans="1:11" x14ac:dyDescent="0.45">
      <c r="A4" t="s">
        <v>52</v>
      </c>
      <c r="B4">
        <v>0.08</v>
      </c>
      <c r="C4" t="s">
        <v>84</v>
      </c>
      <c r="D4">
        <v>258.815</v>
      </c>
      <c r="E4">
        <v>373.26799999999997</v>
      </c>
      <c r="F4">
        <v>369.99200000000002</v>
      </c>
      <c r="G4">
        <v>0.69299999999999995</v>
      </c>
      <c r="H4">
        <v>0.7</v>
      </c>
      <c r="I4">
        <v>1.0089999999999999</v>
      </c>
      <c r="J4">
        <v>0.25800000000000001</v>
      </c>
    </row>
    <row r="5" spans="1:11" x14ac:dyDescent="0.45">
      <c r="A5" t="s">
        <v>52</v>
      </c>
      <c r="B5">
        <v>2.5</v>
      </c>
      <c r="C5" t="s">
        <v>84</v>
      </c>
      <c r="D5">
        <v>657.28</v>
      </c>
      <c r="E5">
        <v>677.10199999999998</v>
      </c>
      <c r="F5">
        <v>635.4</v>
      </c>
      <c r="G5">
        <v>0.97099999999999997</v>
      </c>
      <c r="H5">
        <v>1.034</v>
      </c>
      <c r="I5">
        <v>1.0660000000000001</v>
      </c>
      <c r="J5">
        <v>0.33400000000000002</v>
      </c>
    </row>
    <row r="6" spans="1:11" x14ac:dyDescent="0.45">
      <c r="A6" t="s">
        <v>52</v>
      </c>
      <c r="B6">
        <v>3</v>
      </c>
      <c r="C6" t="s">
        <v>84</v>
      </c>
      <c r="D6">
        <v>716.66800000000001</v>
      </c>
      <c r="E6">
        <v>823.75</v>
      </c>
      <c r="F6">
        <v>765.40800000000002</v>
      </c>
      <c r="G6">
        <v>0.87</v>
      </c>
      <c r="H6">
        <v>0.93600000000000005</v>
      </c>
      <c r="I6">
        <v>1.0760000000000001</v>
      </c>
      <c r="J6">
        <v>0.311</v>
      </c>
    </row>
    <row r="7" spans="1:11" x14ac:dyDescent="0.45">
      <c r="A7" t="s">
        <v>52</v>
      </c>
      <c r="B7">
        <v>3.5</v>
      </c>
      <c r="C7" t="s">
        <v>84</v>
      </c>
      <c r="D7">
        <v>906.32</v>
      </c>
      <c r="E7">
        <v>996.27</v>
      </c>
      <c r="F7">
        <v>739.04200000000003</v>
      </c>
      <c r="G7">
        <v>0.91</v>
      </c>
      <c r="H7">
        <v>1.226</v>
      </c>
      <c r="I7">
        <v>1.3480000000000001</v>
      </c>
      <c r="J7">
        <v>0.34300000000000003</v>
      </c>
    </row>
    <row r="8" spans="1:11" x14ac:dyDescent="0.45">
      <c r="A8" t="s">
        <v>52</v>
      </c>
      <c r="B8" t="s">
        <v>85</v>
      </c>
      <c r="C8" t="s">
        <v>84</v>
      </c>
      <c r="D8">
        <v>760.08900000000006</v>
      </c>
      <c r="E8">
        <v>832.37400000000002</v>
      </c>
      <c r="F8">
        <v>713.28300000000002</v>
      </c>
      <c r="G8">
        <v>0.91300000000000003</v>
      </c>
      <c r="H8">
        <v>1.0660000000000001</v>
      </c>
      <c r="I8">
        <v>1.167</v>
      </c>
      <c r="J8">
        <v>0.33</v>
      </c>
    </row>
    <row r="9" spans="1:11" x14ac:dyDescent="0.45">
      <c r="A9" t="s">
        <v>61</v>
      </c>
      <c r="B9">
        <v>0.08</v>
      </c>
      <c r="C9" t="s">
        <v>84</v>
      </c>
      <c r="D9">
        <v>16.965</v>
      </c>
      <c r="E9">
        <v>18.742000000000001</v>
      </c>
      <c r="F9">
        <v>27.148</v>
      </c>
      <c r="G9">
        <v>0.90500000000000003</v>
      </c>
      <c r="H9">
        <v>0.625</v>
      </c>
      <c r="I9">
        <v>0.69</v>
      </c>
      <c r="J9">
        <v>0.27</v>
      </c>
    </row>
    <row r="10" spans="1:11" x14ac:dyDescent="0.45">
      <c r="A10" t="s">
        <v>61</v>
      </c>
      <c r="B10">
        <v>2.5</v>
      </c>
      <c r="C10" t="s">
        <v>84</v>
      </c>
      <c r="D10">
        <v>33.341999999999999</v>
      </c>
      <c r="E10">
        <v>25.068000000000001</v>
      </c>
      <c r="F10">
        <v>32.255000000000003</v>
      </c>
      <c r="G10">
        <v>1.33</v>
      </c>
      <c r="H10">
        <v>1.034</v>
      </c>
      <c r="I10">
        <v>0.77700000000000002</v>
      </c>
      <c r="J10">
        <v>0.36799999999999999</v>
      </c>
    </row>
    <row r="11" spans="1:11" x14ac:dyDescent="0.45">
      <c r="A11" t="s">
        <v>61</v>
      </c>
      <c r="B11">
        <v>3</v>
      </c>
      <c r="C11" t="s">
        <v>84</v>
      </c>
      <c r="D11">
        <v>46.18</v>
      </c>
      <c r="E11">
        <v>31.855</v>
      </c>
      <c r="F11">
        <v>34.119999999999997</v>
      </c>
      <c r="G11">
        <v>1.45</v>
      </c>
      <c r="H11">
        <v>1.353</v>
      </c>
      <c r="I11">
        <v>0.93400000000000005</v>
      </c>
      <c r="J11">
        <v>0.41199999999999998</v>
      </c>
    </row>
    <row r="12" spans="1:11" x14ac:dyDescent="0.45">
      <c r="A12" t="s">
        <v>61</v>
      </c>
      <c r="B12">
        <v>3.5</v>
      </c>
      <c r="C12" t="s">
        <v>84</v>
      </c>
      <c r="D12">
        <v>50.968000000000004</v>
      </c>
      <c r="E12">
        <v>37.965000000000003</v>
      </c>
      <c r="F12">
        <v>39.835000000000001</v>
      </c>
      <c r="G12">
        <v>1.3420000000000001</v>
      </c>
      <c r="H12">
        <v>1.2789999999999999</v>
      </c>
      <c r="I12">
        <v>0.95299999999999996</v>
      </c>
      <c r="J12">
        <v>0.39600000000000002</v>
      </c>
    </row>
    <row r="13" spans="1:11" x14ac:dyDescent="0.45">
      <c r="A13" t="s">
        <v>61</v>
      </c>
      <c r="B13" t="s">
        <v>85</v>
      </c>
      <c r="C13" t="s">
        <v>84</v>
      </c>
      <c r="D13">
        <v>43.497</v>
      </c>
      <c r="E13">
        <v>31.629000000000001</v>
      </c>
      <c r="F13">
        <v>35.402999999999999</v>
      </c>
      <c r="G13">
        <v>1.375</v>
      </c>
      <c r="H13">
        <v>1.2290000000000001</v>
      </c>
      <c r="I13">
        <v>0.89300000000000002</v>
      </c>
      <c r="J13">
        <v>0.39400000000000002</v>
      </c>
    </row>
    <row r="14" spans="1:11" x14ac:dyDescent="0.45">
      <c r="A14" t="s">
        <v>52</v>
      </c>
      <c r="B14">
        <v>2.5</v>
      </c>
      <c r="C14" t="s">
        <v>86</v>
      </c>
      <c r="D14">
        <v>398.46499999999997</v>
      </c>
      <c r="E14">
        <v>303.83499999999998</v>
      </c>
      <c r="F14">
        <v>265.40699999999998</v>
      </c>
      <c r="G14">
        <v>1.3109999999999999</v>
      </c>
      <c r="H14">
        <v>1.5009999999999999</v>
      </c>
      <c r="I14">
        <v>1.145</v>
      </c>
      <c r="J14">
        <v>0.41199999999999998</v>
      </c>
    </row>
    <row r="15" spans="1:11" x14ac:dyDescent="0.45">
      <c r="A15" t="s">
        <v>52</v>
      </c>
      <c r="B15">
        <v>3</v>
      </c>
      <c r="C15" t="s">
        <v>86</v>
      </c>
      <c r="D15">
        <v>457.85199999999998</v>
      </c>
      <c r="E15">
        <v>450.48200000000003</v>
      </c>
      <c r="F15">
        <v>395.41500000000002</v>
      </c>
      <c r="G15">
        <v>1.016</v>
      </c>
      <c r="H15">
        <v>1.1579999999999999</v>
      </c>
      <c r="I15">
        <v>1.139</v>
      </c>
      <c r="J15">
        <v>0.35099999999999998</v>
      </c>
      <c r="K15">
        <f>(D16/48)/1000</f>
        <v>1.34896875E-2</v>
      </c>
    </row>
    <row r="16" spans="1:11" x14ac:dyDescent="0.45">
      <c r="A16" t="s">
        <v>52</v>
      </c>
      <c r="B16">
        <v>3.5</v>
      </c>
      <c r="C16" t="s">
        <v>86</v>
      </c>
      <c r="D16">
        <v>647.505</v>
      </c>
      <c r="E16">
        <v>623.00199999999995</v>
      </c>
      <c r="F16">
        <v>369.05</v>
      </c>
      <c r="G16">
        <v>1.0389999999999999</v>
      </c>
      <c r="H16">
        <v>1.7549999999999999</v>
      </c>
      <c r="I16">
        <v>1.6879999999999999</v>
      </c>
      <c r="J16">
        <v>0.39500000000000002</v>
      </c>
    </row>
    <row r="17" spans="1:10" x14ac:dyDescent="0.45">
      <c r="A17" t="s">
        <v>52</v>
      </c>
      <c r="B17" t="s">
        <v>85</v>
      </c>
      <c r="C17" t="s">
        <v>86</v>
      </c>
      <c r="D17">
        <v>501.274</v>
      </c>
      <c r="E17">
        <v>459.10700000000003</v>
      </c>
      <c r="F17">
        <v>343.291</v>
      </c>
      <c r="G17">
        <v>1.0920000000000001</v>
      </c>
      <c r="H17">
        <v>1.46</v>
      </c>
      <c r="I17">
        <v>1.337</v>
      </c>
      <c r="J17">
        <v>0.38500000000000001</v>
      </c>
    </row>
    <row r="18" spans="1:10" x14ac:dyDescent="0.45">
      <c r="A18" t="s">
        <v>61</v>
      </c>
      <c r="B18">
        <v>2.5</v>
      </c>
      <c r="C18" t="s">
        <v>86</v>
      </c>
      <c r="D18">
        <v>16.378</v>
      </c>
      <c r="E18">
        <v>6.3250000000000002</v>
      </c>
      <c r="F18">
        <v>5.1079999999999997</v>
      </c>
      <c r="G18">
        <v>2.589</v>
      </c>
      <c r="H18">
        <v>3.2069999999999999</v>
      </c>
      <c r="I18">
        <v>1.238</v>
      </c>
      <c r="J18">
        <v>0.58899999999999997</v>
      </c>
    </row>
    <row r="19" spans="1:10" x14ac:dyDescent="0.45">
      <c r="A19" t="s">
        <v>61</v>
      </c>
      <c r="B19">
        <v>3</v>
      </c>
      <c r="C19" t="s">
        <v>86</v>
      </c>
      <c r="D19">
        <v>29.215</v>
      </c>
      <c r="E19">
        <v>13.112</v>
      </c>
      <c r="F19">
        <v>6.9720000000000004</v>
      </c>
      <c r="G19">
        <v>2.2280000000000002</v>
      </c>
      <c r="H19">
        <v>4.1900000000000004</v>
      </c>
      <c r="I19">
        <v>1.881</v>
      </c>
      <c r="J19">
        <v>0.59299999999999997</v>
      </c>
    </row>
    <row r="20" spans="1:10" x14ac:dyDescent="0.45">
      <c r="A20" t="s">
        <v>61</v>
      </c>
      <c r="B20">
        <v>3.5</v>
      </c>
      <c r="C20" t="s">
        <v>86</v>
      </c>
      <c r="D20">
        <v>34.002000000000002</v>
      </c>
      <c r="E20">
        <v>19.222999999999999</v>
      </c>
      <c r="F20">
        <v>12.688000000000001</v>
      </c>
      <c r="G20">
        <v>1.7689999999999999</v>
      </c>
      <c r="H20">
        <v>2.68</v>
      </c>
      <c r="I20">
        <v>1.5149999999999999</v>
      </c>
      <c r="J20">
        <v>0.51600000000000001</v>
      </c>
    </row>
    <row r="21" spans="1:10" x14ac:dyDescent="0.45">
      <c r="A21" t="s">
        <v>61</v>
      </c>
      <c r="B21" t="s">
        <v>85</v>
      </c>
      <c r="C21" t="s">
        <v>86</v>
      </c>
      <c r="D21">
        <v>26.532</v>
      </c>
      <c r="E21">
        <v>12.887</v>
      </c>
      <c r="F21">
        <v>8.2560000000000002</v>
      </c>
      <c r="G21">
        <v>2.0590000000000002</v>
      </c>
      <c r="H21">
        <v>3.214</v>
      </c>
      <c r="I21">
        <v>1.5609999999999999</v>
      </c>
      <c r="J21">
        <v>0.55700000000000005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58A2-ED7B-4F71-8F43-31C5E3CA514D}">
  <dimension ref="A1:K22"/>
  <sheetViews>
    <sheetView workbookViewId="0">
      <selection activeCell="K20" sqref="K20"/>
    </sheetView>
  </sheetViews>
  <sheetFormatPr defaultRowHeight="14.25" x14ac:dyDescent="0.45"/>
  <sheetData>
    <row r="1" spans="1:10" x14ac:dyDescent="0.45">
      <c r="A1" t="s">
        <v>87</v>
      </c>
    </row>
    <row r="2" spans="1:10" x14ac:dyDescent="0.45">
      <c r="A2" t="s">
        <v>88</v>
      </c>
    </row>
    <row r="3" spans="1:10" x14ac:dyDescent="0.45">
      <c r="A3" t="s">
        <v>42</v>
      </c>
      <c r="B3" t="s">
        <v>64</v>
      </c>
      <c r="C3" t="s">
        <v>79</v>
      </c>
      <c r="D3" t="s">
        <v>51</v>
      </c>
      <c r="E3" t="s">
        <v>57</v>
      </c>
      <c r="F3" t="s">
        <v>59</v>
      </c>
      <c r="G3" t="s">
        <v>80</v>
      </c>
      <c r="H3" t="s">
        <v>81</v>
      </c>
      <c r="I3" t="s">
        <v>82</v>
      </c>
      <c r="J3" t="s">
        <v>83</v>
      </c>
    </row>
    <row r="4" spans="1:10" x14ac:dyDescent="0.45">
      <c r="A4" t="s">
        <v>52</v>
      </c>
      <c r="B4" t="s">
        <v>67</v>
      </c>
      <c r="C4" t="s">
        <v>84</v>
      </c>
      <c r="D4">
        <v>40.002000000000002</v>
      </c>
      <c r="E4">
        <v>11.977</v>
      </c>
      <c r="F4">
        <v>7.9960000000000004</v>
      </c>
      <c r="G4">
        <v>3.34</v>
      </c>
      <c r="H4">
        <v>5.0030000000000001</v>
      </c>
      <c r="I4">
        <v>1.498</v>
      </c>
      <c r="J4">
        <v>0.66700000000000004</v>
      </c>
    </row>
    <row r="5" spans="1:10" x14ac:dyDescent="0.45">
      <c r="A5" t="s">
        <v>52</v>
      </c>
      <c r="B5" t="s">
        <v>71</v>
      </c>
      <c r="C5" t="s">
        <v>84</v>
      </c>
      <c r="D5">
        <v>43.186</v>
      </c>
      <c r="E5">
        <v>12.215999999999999</v>
      </c>
      <c r="F5">
        <v>7.5979999999999999</v>
      </c>
      <c r="G5">
        <v>3.5350000000000001</v>
      </c>
      <c r="H5">
        <v>5.6840000000000002</v>
      </c>
      <c r="I5">
        <v>1.6080000000000001</v>
      </c>
      <c r="J5">
        <v>0.68500000000000005</v>
      </c>
    </row>
    <row r="6" spans="1:10" x14ac:dyDescent="0.45">
      <c r="A6" t="s">
        <v>52</v>
      </c>
      <c r="B6" t="s">
        <v>72</v>
      </c>
      <c r="C6" t="s">
        <v>84</v>
      </c>
      <c r="D6">
        <v>49.475999999999999</v>
      </c>
      <c r="E6">
        <v>47.884</v>
      </c>
      <c r="F6">
        <v>14.286</v>
      </c>
      <c r="G6">
        <v>1.0329999999999999</v>
      </c>
      <c r="H6">
        <v>3.4630000000000001</v>
      </c>
      <c r="I6">
        <v>3.3519999999999999</v>
      </c>
      <c r="J6">
        <v>0.443</v>
      </c>
    </row>
    <row r="7" spans="1:10" x14ac:dyDescent="0.45">
      <c r="A7" t="s">
        <v>52</v>
      </c>
      <c r="B7" t="s">
        <v>73</v>
      </c>
      <c r="C7" t="s">
        <v>84</v>
      </c>
      <c r="D7">
        <v>56.164000000000001</v>
      </c>
      <c r="E7">
        <v>47.963000000000001</v>
      </c>
      <c r="F7">
        <v>17.63</v>
      </c>
      <c r="G7">
        <v>1.171</v>
      </c>
      <c r="H7">
        <v>3.1859999999999999</v>
      </c>
      <c r="I7">
        <v>2.7210000000000001</v>
      </c>
      <c r="J7">
        <v>0.46100000000000002</v>
      </c>
    </row>
    <row r="8" spans="1:10" x14ac:dyDescent="0.45">
      <c r="A8" t="s">
        <v>52</v>
      </c>
      <c r="B8" t="s">
        <v>74</v>
      </c>
      <c r="C8" t="s">
        <v>84</v>
      </c>
      <c r="D8">
        <v>56.96</v>
      </c>
      <c r="E8">
        <v>50.192999999999998</v>
      </c>
      <c r="F8">
        <v>26.228000000000002</v>
      </c>
      <c r="G8">
        <v>1.135</v>
      </c>
      <c r="H8">
        <v>2.1720000000000002</v>
      </c>
      <c r="I8">
        <v>1.9139999999999999</v>
      </c>
      <c r="J8">
        <v>0.42699999999999999</v>
      </c>
    </row>
    <row r="9" spans="1:10" x14ac:dyDescent="0.45">
      <c r="A9" t="s">
        <v>52</v>
      </c>
      <c r="B9" t="s">
        <v>75</v>
      </c>
      <c r="C9" t="s">
        <v>84</v>
      </c>
      <c r="D9">
        <v>59.984999999999999</v>
      </c>
      <c r="E9">
        <v>52.502000000000002</v>
      </c>
      <c r="F9">
        <v>30.925000000000001</v>
      </c>
      <c r="G9">
        <v>1.143</v>
      </c>
      <c r="H9">
        <v>1.94</v>
      </c>
      <c r="I9">
        <v>1.698</v>
      </c>
      <c r="J9">
        <v>0.41799999999999998</v>
      </c>
    </row>
    <row r="10" spans="1:10" x14ac:dyDescent="0.45">
      <c r="A10" t="s">
        <v>52</v>
      </c>
      <c r="B10" t="s">
        <v>89</v>
      </c>
      <c r="C10" t="s">
        <v>84</v>
      </c>
      <c r="D10">
        <v>55.646000000000001</v>
      </c>
      <c r="E10">
        <v>49.636000000000003</v>
      </c>
      <c r="F10">
        <v>22.266999999999999</v>
      </c>
      <c r="G10">
        <v>1.121</v>
      </c>
      <c r="H10">
        <v>2.4990000000000001</v>
      </c>
      <c r="I10">
        <v>2.2290000000000001</v>
      </c>
      <c r="J10">
        <v>0.436</v>
      </c>
    </row>
    <row r="11" spans="1:10" x14ac:dyDescent="0.45">
      <c r="A11" t="s">
        <v>76</v>
      </c>
      <c r="B11" t="s">
        <v>67</v>
      </c>
      <c r="C11" t="s">
        <v>84</v>
      </c>
      <c r="D11">
        <v>19.98</v>
      </c>
      <c r="E11">
        <v>15.015000000000001</v>
      </c>
      <c r="F11">
        <v>32.991999999999997</v>
      </c>
      <c r="G11">
        <v>1.331</v>
      </c>
      <c r="H11">
        <v>0.60599999999999998</v>
      </c>
      <c r="I11">
        <v>0.45500000000000002</v>
      </c>
      <c r="J11">
        <v>0.29399999999999998</v>
      </c>
    </row>
    <row r="12" spans="1:10" x14ac:dyDescent="0.45">
      <c r="A12" t="s">
        <v>76</v>
      </c>
      <c r="B12" t="s">
        <v>71</v>
      </c>
      <c r="C12" t="s">
        <v>84</v>
      </c>
      <c r="D12">
        <v>22.376999999999999</v>
      </c>
      <c r="E12">
        <v>15.401</v>
      </c>
      <c r="F12">
        <v>32.307000000000002</v>
      </c>
      <c r="G12">
        <v>1.4530000000000001</v>
      </c>
      <c r="H12">
        <v>0.69299999999999995</v>
      </c>
      <c r="I12">
        <v>0.47699999999999998</v>
      </c>
      <c r="J12">
        <v>0.31900000000000001</v>
      </c>
    </row>
    <row r="13" spans="1:10" x14ac:dyDescent="0.45">
      <c r="A13" t="s">
        <v>76</v>
      </c>
      <c r="B13" t="s">
        <v>72</v>
      </c>
      <c r="C13" t="s">
        <v>84</v>
      </c>
      <c r="D13">
        <v>18.012</v>
      </c>
      <c r="E13">
        <v>14.416</v>
      </c>
      <c r="F13">
        <v>31.28</v>
      </c>
      <c r="G13">
        <v>1.2490000000000001</v>
      </c>
      <c r="H13">
        <v>0.57599999999999996</v>
      </c>
      <c r="I13">
        <v>0.46100000000000002</v>
      </c>
      <c r="J13">
        <v>0.28299999999999997</v>
      </c>
    </row>
    <row r="14" spans="1:10" x14ac:dyDescent="0.45">
      <c r="A14" t="s">
        <v>76</v>
      </c>
      <c r="B14" t="s">
        <v>73</v>
      </c>
      <c r="C14" t="s">
        <v>84</v>
      </c>
      <c r="D14">
        <v>18.396999999999998</v>
      </c>
      <c r="E14">
        <v>16.899000000000001</v>
      </c>
      <c r="F14">
        <v>31.707999999999998</v>
      </c>
      <c r="G14">
        <v>1.089</v>
      </c>
      <c r="H14">
        <v>0.57999999999999996</v>
      </c>
      <c r="I14">
        <v>0.53300000000000003</v>
      </c>
      <c r="J14">
        <v>0.27500000000000002</v>
      </c>
    </row>
    <row r="15" spans="1:10" x14ac:dyDescent="0.45">
      <c r="A15" t="s">
        <v>76</v>
      </c>
      <c r="B15" t="s">
        <v>74</v>
      </c>
      <c r="C15" t="s">
        <v>84</v>
      </c>
      <c r="D15">
        <v>31.879000000000001</v>
      </c>
      <c r="E15">
        <v>16.684999999999999</v>
      </c>
      <c r="F15">
        <v>30.21</v>
      </c>
      <c r="G15">
        <v>1.911</v>
      </c>
      <c r="H15">
        <v>1.0549999999999999</v>
      </c>
      <c r="I15">
        <v>0.55200000000000005</v>
      </c>
      <c r="J15">
        <v>0.40500000000000003</v>
      </c>
    </row>
    <row r="16" spans="1:10" x14ac:dyDescent="0.45">
      <c r="A16" t="s">
        <v>76</v>
      </c>
      <c r="B16" t="s">
        <v>75</v>
      </c>
      <c r="C16" t="s">
        <v>84</v>
      </c>
      <c r="D16">
        <v>38.384999999999998</v>
      </c>
      <c r="E16">
        <v>18.097000000000001</v>
      </c>
      <c r="F16">
        <v>33.890999999999998</v>
      </c>
      <c r="G16">
        <v>2.121</v>
      </c>
      <c r="H16">
        <v>1.133</v>
      </c>
      <c r="I16">
        <v>0.53400000000000003</v>
      </c>
      <c r="J16">
        <v>0.42499999999999999</v>
      </c>
    </row>
    <row r="17" spans="1:11" x14ac:dyDescent="0.45">
      <c r="A17" t="s">
        <v>76</v>
      </c>
      <c r="B17" t="s">
        <v>89</v>
      </c>
      <c r="C17" t="s">
        <v>84</v>
      </c>
      <c r="D17">
        <v>26.667999999999999</v>
      </c>
      <c r="E17">
        <v>16.524000000000001</v>
      </c>
      <c r="F17">
        <v>31.771999999999998</v>
      </c>
      <c r="G17">
        <v>1.6140000000000001</v>
      </c>
      <c r="H17">
        <v>0.83899999999999997</v>
      </c>
      <c r="I17">
        <v>0.52</v>
      </c>
      <c r="J17">
        <v>0.35599999999999998</v>
      </c>
    </row>
    <row r="18" spans="1:11" x14ac:dyDescent="0.45">
      <c r="A18" t="s">
        <v>52</v>
      </c>
      <c r="B18" t="s">
        <v>72</v>
      </c>
      <c r="C18" t="s">
        <v>86</v>
      </c>
      <c r="D18">
        <v>6.29</v>
      </c>
      <c r="E18">
        <v>35.667999999999999</v>
      </c>
      <c r="F18">
        <v>6.6879999999999997</v>
      </c>
      <c r="G18">
        <v>0.17599999999999999</v>
      </c>
      <c r="H18">
        <v>0.94</v>
      </c>
      <c r="I18">
        <v>5.3330000000000002</v>
      </c>
      <c r="J18">
        <v>0.129</v>
      </c>
    </row>
    <row r="19" spans="1:11" x14ac:dyDescent="0.45">
      <c r="A19" t="s">
        <v>52</v>
      </c>
      <c r="B19" t="s">
        <v>73</v>
      </c>
      <c r="C19" t="s">
        <v>86</v>
      </c>
      <c r="D19">
        <v>12.978</v>
      </c>
      <c r="E19">
        <v>35.747</v>
      </c>
      <c r="F19">
        <v>10.032</v>
      </c>
      <c r="G19">
        <v>0.36299999999999999</v>
      </c>
      <c r="H19">
        <v>1.294</v>
      </c>
      <c r="I19">
        <v>3.5630000000000002</v>
      </c>
      <c r="J19">
        <v>0.221</v>
      </c>
      <c r="K19">
        <f>D21/90</f>
        <v>0.18665555555555555</v>
      </c>
    </row>
    <row r="20" spans="1:11" x14ac:dyDescent="0.45">
      <c r="A20" t="s">
        <v>52</v>
      </c>
      <c r="B20" t="s">
        <v>74</v>
      </c>
      <c r="C20" t="s">
        <v>86</v>
      </c>
      <c r="D20">
        <v>13.773999999999999</v>
      </c>
      <c r="E20">
        <v>37.976999999999997</v>
      </c>
      <c r="F20">
        <v>18.63</v>
      </c>
      <c r="G20">
        <v>0.36299999999999999</v>
      </c>
      <c r="H20">
        <v>0.73899999999999999</v>
      </c>
      <c r="I20">
        <v>2.0379999999999998</v>
      </c>
      <c r="J20">
        <v>0.19600000000000001</v>
      </c>
    </row>
    <row r="21" spans="1:11" x14ac:dyDescent="0.45">
      <c r="A21" t="s">
        <v>52</v>
      </c>
      <c r="B21" t="s">
        <v>75</v>
      </c>
      <c r="C21" t="s">
        <v>86</v>
      </c>
      <c r="D21">
        <v>16.798999999999999</v>
      </c>
      <c r="E21">
        <v>40.286000000000001</v>
      </c>
      <c r="F21">
        <v>23.327000000000002</v>
      </c>
      <c r="G21">
        <v>0.41699999999999998</v>
      </c>
      <c r="H21">
        <v>0.72</v>
      </c>
      <c r="I21">
        <v>1.7270000000000001</v>
      </c>
      <c r="J21">
        <v>0.20899999999999999</v>
      </c>
    </row>
    <row r="22" spans="1:11" x14ac:dyDescent="0.45">
      <c r="A22" t="s">
        <v>52</v>
      </c>
      <c r="B22" t="s">
        <v>89</v>
      </c>
      <c r="C22" t="s">
        <v>86</v>
      </c>
      <c r="D22">
        <v>12.46</v>
      </c>
      <c r="E22">
        <v>37.42</v>
      </c>
      <c r="F22">
        <v>14.669</v>
      </c>
      <c r="G22">
        <v>0.33300000000000002</v>
      </c>
      <c r="H22">
        <v>0.84899999999999998</v>
      </c>
      <c r="I22">
        <v>2.5510000000000002</v>
      </c>
      <c r="J22">
        <v>0.193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3</vt:i4>
      </vt:variant>
    </vt:vector>
  </HeadingPairs>
  <TitlesOfParts>
    <vt:vector size="11" baseType="lpstr">
      <vt:lpstr>Sanchez-Ledesma Data</vt:lpstr>
      <vt:lpstr>Cao et al Data</vt:lpstr>
      <vt:lpstr>Campos-Villareal Data</vt:lpstr>
      <vt:lpstr>Dry Weight</vt:lpstr>
      <vt:lpstr>Campos-Villareal Ion Accum</vt:lpstr>
      <vt:lpstr>Sanchez-Ledesma Ion Accum</vt:lpstr>
      <vt:lpstr>Campos-Villareal Ion Ratios</vt:lpstr>
      <vt:lpstr>Sanchez-Ledesma Ion Ratios</vt:lpstr>
      <vt:lpstr>Photosynthetic Rate Reduct Plot</vt:lpstr>
      <vt:lpstr>Photosynthetic Pct Reduct</vt:lpstr>
      <vt:lpstr>Stomatal Conductance Reduc Plot</vt:lpstr>
    </vt:vector>
  </TitlesOfParts>
  <Company>The Geosyntec family of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2026-04-06T04:24:07Z</dcterms:created>
  <dcterms:modified xsi:type="dcterms:W3CDTF">2026-10-07T19:46:48Z</dcterms:modified>
</cp:coreProperties>
</file>