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heets/sheet1.xml" ContentType="application/vnd.openxmlformats-officedocument.spreadsheetml.chartsheet+xml"/>
  <Override PartName="/xl/drawings/drawing2.xml" ContentType="application/vnd.openxmlformats-officedocument.drawing+xml"/>
  <Override PartName="/xl/chartsheets/sheet2.xml" ContentType="application/vnd.openxmlformats-officedocument.spreadsheetml.chartsheet+xml"/>
  <Override PartName="/xl/drawings/drawing3.xml" ContentType="application/vnd.openxmlformats-officedocument.drawing+xml"/>
  <Override PartName="/xl/chartsheets/sheet3.xml" ContentType="application/vnd.openxmlformats-officedocument.spreadsheetml.chart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3080" yWindow="-120" windowWidth="29040" windowHeight="15720" tabRatio="600" firstSheet="4" activeTab="7" autoFilterDateGrouping="1"/>
  </bookViews>
  <sheets>
    <sheet name="Sanchez-Ledesma Data" sheetId="1" state="visible" r:id="rId1"/>
    <sheet name="Cao et al Data" sheetId="2" state="visible" r:id="rId2"/>
    <sheet name="Campos-Villareal Data" sheetId="3" state="visible" r:id="rId3"/>
    <sheet name="Photosynthetic Rate Reduct Plot" sheetId="4" state="visible" r:id="rId4"/>
    <sheet name="Photosynthetic Pct Reduct" sheetId="5" state="visible" r:id="rId5"/>
    <sheet name="Stomatal Conductance Reduc Plot" sheetId="6" state="visible" r:id="rId6"/>
    <sheet name="Dry Weight" sheetId="7" state="visible" r:id="rId7"/>
    <sheet name="Campos-Villareal Ions" sheetId="8" state="visible" r:id="rId8"/>
    <sheet name="Campos-Villareal Ion Ratios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4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Segoe UI"/>
      <family val="2"/>
      <color theme="1"/>
      <sz val="11"/>
    </font>
    <font>
      <name val="Segoe UI"/>
      <family val="2"/>
      <b val="1"/>
      <color theme="1"/>
      <sz val="11"/>
    </font>
  </fonts>
  <fills count="5">
    <fill>
      <patternFill/>
    </fill>
    <fill>
      <patternFill patternType="gray125"/>
    </fill>
    <fill>
      <patternFill patternType="solid">
        <fgColor rgb="FFF5F5F5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</fills>
  <borders count="2">
    <border>
      <left/>
      <right/>
      <top/>
      <bottom/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2" fillId="0" borderId="0" applyAlignment="1" pivotButton="0" quotePrefix="0" xfId="0">
      <alignment vertical="center"/>
    </xf>
    <xf numFmtId="0" fontId="1" fillId="3" borderId="0" pivotButton="0" quotePrefix="0" xfId="0"/>
    <xf numFmtId="0" fontId="0" fillId="3" borderId="0" pivotButton="0" quotePrefix="0" xfId="0"/>
    <xf numFmtId="164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4" borderId="0" pivotButton="0" quotePrefix="0" xfId="0"/>
    <xf numFmtId="0" fontId="1" fillId="0" borderId="0" applyAlignment="1" pivotButton="0" quotePrefix="0" xfId="0">
      <alignment horizontal="center" vertical="center"/>
    </xf>
    <xf numFmtId="165" fontId="0" fillId="0" borderId="0" pivotButton="0" quotePrefix="0" xfId="0"/>
    <xf numFmtId="1" fontId="0" fillId="0" borderId="0" pivotButton="0" quotePrefix="0" xfId="0"/>
    <xf numFmtId="0" fontId="1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chartsheet" Target="/xl/chartsheets/sheet1.xml" Id="rId4" /><Relationship Type="http://schemas.openxmlformats.org/officeDocument/2006/relationships/chartsheet" Target="/xl/chartsheets/sheet2.xml" Id="rId5" /><Relationship Type="http://schemas.openxmlformats.org/officeDocument/2006/relationships/chartsheet" Target="/xl/chartsheets/sheet3.xml" Id="rId6" /><Relationship Type="http://schemas.openxmlformats.org/officeDocument/2006/relationships/worksheet" Target="/xl/worksheets/sheet4.xml" Id="rId7" /><Relationship Type="http://schemas.openxmlformats.org/officeDocument/2006/relationships/worksheet" Target="/xl/worksheets/sheet5.xml" Id="rId8" /><Relationship Type="http://schemas.openxmlformats.org/officeDocument/2006/relationships/worksheet" Target="/xl/worksheets/sheet6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828076872118142"/>
          <y val="0.07449074074074075"/>
          <w val="0.8585149634768745"/>
          <h val="0.7972868788431788"/>
        </manualLayout>
      </layout>
      <scatterChart>
        <scatterStyle val="lineMarker"/>
        <varyColors val="0"/>
        <ser>
          <idx val="0"/>
          <order val="0"/>
          <tx>
            <v>Unpecified Cultivar (Treated with microrhizal fungi)</v>
          </tx>
          <spPr>
            <a:ln w="38100" cap="rnd">
              <a:noFill/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trendline>
            <spPr>
              <a:ln w="19050" cap="rnd">
                <a:solidFill>
                  <a:schemeClr val="accent1"/>
                </a:solidFill>
                <a:prstDash val="sysDot"/>
              </a:ln>
            </spPr>
            <trendlineType val="power"/>
            <dispRSqr val="0"/>
            <dispEq val="0"/>
          </trendline>
          <errBars>
            <errDir val="y"/>
            <errBarType val="both"/>
            <errValType val="cust"/>
            <noEndCap val="0"/>
            <minus>
              <numRef>
                <f>'Sanchez-Ledesma Data'!$C$2:$C$6</f>
                <numCache>
                  <formatCode>General</formatCode>
                  <ptCount val="5"/>
                  <pt idx="0">
                    <v>0.57</v>
                  </pt>
                  <pt idx="1">
                    <v>0.18</v>
                  </pt>
                  <pt idx="2">
                    <v>0.08</v>
                  </pt>
                  <pt idx="3">
                    <v>0.3</v>
                  </pt>
                  <pt idx="4">
                    <v>0.63</v>
                  </pt>
                </numCache>
              </numRef>
            </minus>
            <plus>
              <numRef>
                <f>'Sanchez-Ledesma Data'!$C$2:$C$6</f>
                <numCache>
                  <formatCode>General</formatCode>
                  <ptCount val="5"/>
                  <pt idx="0">
                    <v>0.57</v>
                  </pt>
                  <pt idx="1">
                    <v>0.18</v>
                  </pt>
                  <pt idx="2">
                    <v>0.08</v>
                  </pt>
                  <pt idx="3">
                    <v>0.3</v>
                  </pt>
                  <pt idx="4">
                    <v>0.63</v>
                  </pt>
                </numCache>
              </numRef>
            </plus>
            <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prstDash val="solid"/>
                <a:round/>
              </a:ln>
            </spPr>
          </errBars>
          <xVal>
            <numRef>
              <f>'Sanchez-Ledesma Data'!$A$2:$A$6</f>
              <numCache>
                <formatCode>General</formatCode>
                <ptCount val="5"/>
                <pt idx="0">
                  <v>0</v>
                </pt>
                <pt idx="1">
                  <v>20</v>
                </pt>
                <pt idx="2">
                  <v>25</v>
                </pt>
                <pt idx="3">
                  <v>30</v>
                </pt>
                <pt idx="4">
                  <v>35</v>
                </pt>
              </numCache>
            </numRef>
          </xVal>
          <yVal>
            <numRef>
              <f>'Sanchez-Ledesma Data'!$B$2:$B$6</f>
              <numCache>
                <formatCode>General</formatCode>
                <ptCount val="5"/>
                <pt idx="0">
                  <v>7</v>
                </pt>
                <pt idx="1">
                  <v>6</v>
                </pt>
                <pt idx="2">
                  <v>5.1</v>
                </pt>
                <pt idx="3">
                  <v>4.8</v>
                </pt>
                <pt idx="4">
                  <v>4</v>
                </pt>
              </numCache>
            </numRef>
          </yVal>
          <smooth val="0"/>
        </ser>
        <ser>
          <idx val="1"/>
          <order val="1"/>
          <tx>
            <v>Apache</v>
          </tx>
          <spPr>
            <a:ln w="25400" cap="rnd">
              <a:noFill/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xVal>
            <numRef>
              <f>'Campos-Villareal Data'!$B$3:$B$6</f>
              <numCache>
                <formatCode>General</formatCode>
                <ptCount val="4"/>
                <pt idx="0">
                  <v>0.8</v>
                </pt>
                <pt idx="1">
                  <v>25</v>
                </pt>
                <pt idx="2">
                  <v>30</v>
                </pt>
                <pt idx="3">
                  <v>35</v>
                </pt>
              </numCache>
            </numRef>
          </xVal>
          <yVal>
            <numRef>
              <f>'Campos-Villareal Data'!$C$11:$C$14</f>
              <numCache>
                <formatCode>General</formatCode>
                <ptCount val="4"/>
                <pt idx="0">
                  <v>5.2</v>
                </pt>
                <pt idx="1">
                  <v>3.7</v>
                </pt>
                <pt idx="2">
                  <v>2.6</v>
                </pt>
                <pt idx="3">
                  <v>1.8</v>
                </pt>
              </numCache>
            </numRef>
          </yVal>
          <smooth val="0"/>
        </ser>
        <ser>
          <idx val="2"/>
          <order val="2"/>
          <tx>
            <v>Riverside</v>
          </tx>
          <spPr>
            <a:ln w="25400" cap="rnd">
              <a:noFill/>
              <a:prstDash val="solid"/>
              <a:round/>
            </a:ln>
          </spPr>
          <marker>
            <symbol val="circle"/>
            <size val="5"/>
            <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spPr>
          </marker>
          <xVal>
            <numRef>
              <f>'Campos-Villareal Data'!$B$11:$B$14</f>
              <numCache>
                <formatCode>General</formatCode>
                <ptCount val="4"/>
                <pt idx="0">
                  <v>0.8</v>
                </pt>
                <pt idx="1">
                  <v>25</v>
                </pt>
                <pt idx="2">
                  <v>30</v>
                </pt>
                <pt idx="3">
                  <v>35</v>
                </pt>
              </numCache>
            </numRef>
          </xVal>
          <yVal>
            <numRef>
              <f>'Campos-Villareal Data'!$D$11:$D$14</f>
              <numCache>
                <formatCode>General</formatCode>
                <ptCount val="4"/>
                <pt idx="0">
                  <v>5.3</v>
                </pt>
                <pt idx="1">
                  <v>4.3</v>
                </pt>
                <pt idx="2">
                  <v>3.7</v>
                </pt>
                <pt idx="3">
                  <v>3.7</v>
                </pt>
              </numCache>
            </numRef>
          </yVal>
          <smooth val="0"/>
        </ser>
        <ser>
          <idx val="3"/>
          <order val="3"/>
          <tx>
            <v>SVA1</v>
          </tx>
          <spPr>
            <a:ln w="25400" cap="rnd">
              <a:noFill/>
              <a:prstDash val="solid"/>
              <a:round/>
            </a:ln>
          </spPr>
          <marker>
            <symbol val="circle"/>
            <size val="5"/>
            <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spPr>
          </marker>
          <xVal>
            <numRef>
              <f>'Campos-Villareal Data'!$B$11:$B$14</f>
              <numCache>
                <formatCode>General</formatCode>
                <ptCount val="4"/>
                <pt idx="0">
                  <v>0.8</v>
                </pt>
                <pt idx="1">
                  <v>25</v>
                </pt>
                <pt idx="2">
                  <v>30</v>
                </pt>
                <pt idx="3">
                  <v>35</v>
                </pt>
              </numCache>
            </numRef>
          </xVal>
          <yVal>
            <numRef>
              <f>'Campos-Villareal Data'!$E$11:$E$14</f>
              <numCache>
                <formatCode>General</formatCode>
                <ptCount val="4"/>
                <pt idx="0">
                  <v>5.2</v>
                </pt>
                <pt idx="1">
                  <v>4.7</v>
                </pt>
                <pt idx="2">
                  <v>3.9</v>
                </pt>
                <pt idx="3">
                  <v>2.9</v>
                </pt>
              </numCache>
            </numRef>
          </yVal>
          <smooth val="0"/>
        </ser>
        <ser>
          <idx val="4"/>
          <order val="4"/>
          <tx>
            <v>SVA2</v>
          </tx>
          <spPr>
            <a:ln w="25400" cap="rnd">
              <a:noFill/>
              <a:prstDash val="solid"/>
              <a:round/>
            </a:ln>
          </spPr>
          <marker>
            <symbol val="circle"/>
            <size val="5"/>
            <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spPr>
          </marker>
          <xVal>
            <numRef>
              <f>'Campos-Villareal Data'!$B$11:$B$14</f>
              <numCache>
                <formatCode>General</formatCode>
                <ptCount val="4"/>
                <pt idx="0">
                  <v>0.8</v>
                </pt>
                <pt idx="1">
                  <v>25</v>
                </pt>
                <pt idx="2">
                  <v>30</v>
                </pt>
                <pt idx="3">
                  <v>35</v>
                </pt>
              </numCache>
            </numRef>
          </xVal>
          <yVal>
            <numRef>
              <f>'Campos-Villareal Data'!$F$11:$F$14</f>
              <numCache>
                <formatCode>General</formatCode>
                <ptCount val="4"/>
                <pt idx="0">
                  <v>4.3</v>
                </pt>
                <pt idx="1">
                  <v>4</v>
                </pt>
                <pt idx="2">
                  <v>2.7</v>
                </pt>
                <pt idx="3">
                  <v>2.6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971268128"/>
        <axId val="971277248"/>
      </scatterChart>
      <valAx>
        <axId val="971268128"/>
        <scaling>
          <orientation val="minMax"/>
          <max val="4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NaCl (mol</a:t>
                </a:r>
                <a:r>
                  <a:rPr lang="en-US" baseline="0"/>
                  <a:t> </a:t>
                </a:r>
                <a:r>
                  <a:rPr lang="en-US"/>
                  <a:t>m</a:t>
                </a:r>
                <a:r>
                  <a:rPr lang="en-US" baseline="30000"/>
                  <a:t>-3</a:t>
                </a:r>
                <a:r>
                  <a:rPr lang="en-US" baseline="0"/>
                  <a:t>)</a:t>
                </a:r>
                <a:endParaRPr lang="en-US"/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71277248"/>
        <crosses val="autoZero"/>
        <crossBetween val="midCat"/>
      </valAx>
      <valAx>
        <axId val="97127724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Photosynthetic Rate (µmol m</a:t>
                </a:r>
                <a:r>
                  <a:rPr lang="en-US" baseline="30000"/>
                  <a:t>-2</a:t>
                </a:r>
                <a:r>
                  <a:rPr lang="en-US" baseline="0"/>
                  <a:t xml:space="preserve"> s</a:t>
                </a:r>
                <a:r>
                  <a:rPr lang="en-US" baseline="30000"/>
                  <a:t>-1</a:t>
                </a:r>
                <a:r>
                  <a:rPr lang="en-US" baseline="0"/>
                  <a:t>)</a:t>
                </a:r>
                <a:endParaRPr lang="en-US"/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71268128"/>
        <crosses val="autoZero"/>
        <crossBetween val="midCat"/>
      </valAx>
    </plotArea>
    <legend>
      <legendPos val="r"/>
      <legendEntry>
        <idx val="5"/>
        <delete val="1"/>
      </legendEntry>
      <layout>
        <manualLayout>
          <xMode val="edge"/>
          <yMode val="edge"/>
          <wMode val="factor"/>
          <hMode val="factor"/>
          <x val="0.10914005941565"/>
          <y val="0.4667448441580364"/>
          <w val="0.1766975281935912"/>
          <h val="0.4071517510500342"/>
        </manualLayout>
      </layout>
      <overlay val="0"/>
      <spPr>
        <a:solidFill>
          <a:schemeClr val="bg1"/>
        </a:solidFill>
        <a:ln>
          <a:solidFill>
            <a:schemeClr val="tx1"/>
          </a:solidFill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828076872118142"/>
          <y val="0.07449074074074075"/>
          <w val="0.8585149634768745"/>
          <h val="0.7972868788431788"/>
        </manualLayout>
      </layout>
      <scatterChart>
        <scatterStyle val="lineMarker"/>
        <varyColors val="0"/>
        <ser>
          <idx val="0"/>
          <order val="0"/>
          <tx>
            <v>Unpecified Cultivar (Treated with microrhizal fungi)</v>
          </tx>
          <spPr>
            <a:ln w="25400" cap="rnd">
              <a:noFill/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trendline>
            <spPr>
              <a:ln w="19050" cap="rnd">
                <a:solidFill>
                  <a:schemeClr val="accent1"/>
                </a:solidFill>
                <a:prstDash val="sysDot"/>
              </a:ln>
            </spPr>
            <trendlineType val="power"/>
            <dispRSqr val="0"/>
            <dispEq val="0"/>
          </trendline>
          <errBars>
            <errDir val="y"/>
            <errBarType val="both"/>
            <errValType val="cust"/>
            <noEndCap val="0"/>
            <minus>
              <numRef>
                <f>'Sanchez-Ledesma Data'!$C$2:$C$6</f>
                <numCache>
                  <formatCode>General</formatCode>
                  <ptCount val="5"/>
                  <pt idx="0">
                    <v>0.57</v>
                  </pt>
                  <pt idx="1">
                    <v>0.18</v>
                  </pt>
                  <pt idx="2">
                    <v>0.08</v>
                  </pt>
                  <pt idx="3">
                    <v>0.3</v>
                  </pt>
                  <pt idx="4">
                    <v>0.63</v>
                  </pt>
                </numCache>
              </numRef>
            </minus>
            <plus>
              <numRef>
                <f>'Sanchez-Ledesma Data'!$C$2:$C$6</f>
                <numCache>
                  <formatCode>General</formatCode>
                  <ptCount val="5"/>
                  <pt idx="0">
                    <v>0.57</v>
                  </pt>
                  <pt idx="1">
                    <v>0.18</v>
                  </pt>
                  <pt idx="2">
                    <v>0.08</v>
                  </pt>
                  <pt idx="3">
                    <v>0.3</v>
                  </pt>
                  <pt idx="4">
                    <v>0.63</v>
                  </pt>
                </numCache>
              </numRef>
            </plus>
            <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prstDash val="solid"/>
                <a:round/>
              </a:ln>
            </spPr>
          </errBars>
          <xVal>
            <numRef>
              <f>'Sanchez-Ledesma Data'!$A$2:$A$6</f>
              <numCache>
                <formatCode>General</formatCode>
                <ptCount val="5"/>
                <pt idx="0">
                  <v>0</v>
                </pt>
                <pt idx="1">
                  <v>20</v>
                </pt>
                <pt idx="2">
                  <v>25</v>
                </pt>
                <pt idx="3">
                  <v>30</v>
                </pt>
                <pt idx="4">
                  <v>35</v>
                </pt>
              </numCache>
            </numRef>
          </xVal>
          <yVal>
            <numRef>
              <f>'Sanchez-Ledesma Data'!$E$2:$E$6</f>
              <numCache>
                <formatCode>0.000</formatCode>
                <ptCount val="5"/>
                <pt idx="0">
                  <v>0</v>
                </pt>
                <pt idx="1">
                  <v>0.1428571428571428</v>
                </pt>
                <pt idx="2">
                  <v>0.2714285714285715</v>
                </pt>
                <pt idx="3">
                  <v>0.3142857142857143</v>
                </pt>
                <pt idx="4">
                  <v>0.4285714285714286</v>
                </pt>
              </numCache>
            </numRef>
          </yVal>
          <smooth val="0"/>
        </ser>
        <ser>
          <idx val="1"/>
          <order val="1"/>
          <tx>
            <v>Apache</v>
          </tx>
          <spPr>
            <a:ln w="25400" cap="rnd">
              <a:noFill/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xVal>
            <numRef>
              <f>'Campos-Villareal Data'!$B$3:$B$6</f>
              <numCache>
                <formatCode>General</formatCode>
                <ptCount val="4"/>
                <pt idx="0">
                  <v>0.8</v>
                </pt>
                <pt idx="1">
                  <v>25</v>
                </pt>
                <pt idx="2">
                  <v>30</v>
                </pt>
                <pt idx="3">
                  <v>35</v>
                </pt>
              </numCache>
            </numRef>
          </xVal>
          <yVal>
            <numRef>
              <f>'Campos-Villareal Data'!$K$11:$K$14</f>
              <numCache>
                <formatCode>0.000</formatCode>
                <ptCount val="4"/>
                <pt idx="0">
                  <formatCode>General</formatCode>
                  <v>0</v>
                </pt>
                <pt idx="1">
                  <v>0.2884615384615384</v>
                </pt>
                <pt idx="2">
                  <v>0.5</v>
                </pt>
                <pt idx="3">
                  <v>0.6538461538461539</v>
                </pt>
              </numCache>
            </numRef>
          </yVal>
          <smooth val="0"/>
        </ser>
        <ser>
          <idx val="2"/>
          <order val="2"/>
          <tx>
            <v>Riverside</v>
          </tx>
          <spPr>
            <a:ln w="25400" cap="rnd">
              <a:noFill/>
              <a:prstDash val="solid"/>
              <a:round/>
            </a:ln>
          </spPr>
          <marker>
            <symbol val="circle"/>
            <size val="5"/>
            <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spPr>
          </marker>
          <xVal>
            <numRef>
              <f>'Campos-Villareal Data'!$B$11:$B$14</f>
              <numCache>
                <formatCode>General</formatCode>
                <ptCount val="4"/>
                <pt idx="0">
                  <v>0.8</v>
                </pt>
                <pt idx="1">
                  <v>25</v>
                </pt>
                <pt idx="2">
                  <v>30</v>
                </pt>
                <pt idx="3">
                  <v>35</v>
                </pt>
              </numCache>
            </numRef>
          </xVal>
          <yVal>
            <numRef>
              <f>'Campos-Villareal Data'!$L$11:$L$14</f>
              <numCache>
                <formatCode>0.000</formatCode>
                <ptCount val="4"/>
                <pt idx="0">
                  <formatCode>General</formatCode>
                  <v>0</v>
                </pt>
                <pt idx="1">
                  <v>0.1886792452830188</v>
                </pt>
                <pt idx="2">
                  <v>0.3018867924528301</v>
                </pt>
                <pt idx="3">
                  <v>0.3018867924528301</v>
                </pt>
              </numCache>
            </numRef>
          </yVal>
          <smooth val="0"/>
        </ser>
        <ser>
          <idx val="3"/>
          <order val="3"/>
          <tx>
            <v>SVA1</v>
          </tx>
          <spPr>
            <a:ln w="25400" cap="rnd">
              <a:noFill/>
              <a:prstDash val="solid"/>
              <a:round/>
            </a:ln>
          </spPr>
          <marker>
            <symbol val="circle"/>
            <size val="5"/>
            <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spPr>
          </marker>
          <xVal>
            <numRef>
              <f>'Campos-Villareal Data'!$B$11:$B$14</f>
              <numCache>
                <formatCode>General</formatCode>
                <ptCount val="4"/>
                <pt idx="0">
                  <v>0.8</v>
                </pt>
                <pt idx="1">
                  <v>25</v>
                </pt>
                <pt idx="2">
                  <v>30</v>
                </pt>
                <pt idx="3">
                  <v>35</v>
                </pt>
              </numCache>
            </numRef>
          </xVal>
          <yVal>
            <numRef>
              <f>'Campos-Villareal Data'!$M$11:$M$14</f>
              <numCache>
                <formatCode>0.000</formatCode>
                <ptCount val="4"/>
                <pt idx="0">
                  <formatCode>General</formatCode>
                  <v>0</v>
                </pt>
                <pt idx="1">
                  <v>0.09615384615384615</v>
                </pt>
                <pt idx="2">
                  <v>0.25</v>
                </pt>
                <pt idx="3">
                  <v>0.4423076923076923</v>
                </pt>
              </numCache>
            </numRef>
          </yVal>
          <smooth val="0"/>
        </ser>
        <ser>
          <idx val="4"/>
          <order val="4"/>
          <tx>
            <v>SVA2</v>
          </tx>
          <spPr>
            <a:ln w="25400" cap="rnd">
              <a:noFill/>
              <a:prstDash val="solid"/>
              <a:round/>
            </a:ln>
          </spPr>
          <marker>
            <symbol val="circle"/>
            <size val="5"/>
            <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spPr>
          </marker>
          <xVal>
            <numRef>
              <f>'Campos-Villareal Data'!$B$11:$B$14</f>
              <numCache>
                <formatCode>General</formatCode>
                <ptCount val="4"/>
                <pt idx="0">
                  <v>0.8</v>
                </pt>
                <pt idx="1">
                  <v>25</v>
                </pt>
                <pt idx="2">
                  <v>30</v>
                </pt>
                <pt idx="3">
                  <v>35</v>
                </pt>
              </numCache>
            </numRef>
          </xVal>
          <yVal>
            <numRef>
              <f>'Campos-Villareal Data'!$N$11:$N$14</f>
              <numCache>
                <formatCode>0.000</formatCode>
                <ptCount val="4"/>
                <pt idx="0">
                  <formatCode>General</formatCode>
                  <v>0</v>
                </pt>
                <pt idx="1">
                  <v>0.06976744186046502</v>
                </pt>
                <pt idx="2">
                  <v>0.3720930232558139</v>
                </pt>
                <pt idx="3">
                  <v>0.3953488372093024</v>
                </pt>
              </numCache>
            </numRef>
          </yVal>
          <smooth val="0"/>
        </ser>
        <ser>
          <idx val="5"/>
          <order val="5"/>
          <tx>
            <v>Average From Campos-Villareal</v>
          </tx>
          <spPr>
            <a:ln w="25400" cap="rnd">
              <a:noFill/>
              <a:prstDash val="solid"/>
              <a:round/>
            </a:ln>
          </spPr>
          <marker>
            <symbol val="circle"/>
            <size val="5"/>
            <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spPr>
          </marker>
          <xVal>
            <numRef>
              <f>'Campos-Villareal Data'!$B$3:$B$6</f>
              <numCache>
                <formatCode>General</formatCode>
                <ptCount val="4"/>
                <pt idx="0">
                  <v>0.8</v>
                </pt>
                <pt idx="1">
                  <v>25</v>
                </pt>
                <pt idx="2">
                  <v>30</v>
                </pt>
                <pt idx="3">
                  <v>35</v>
                </pt>
              </numCache>
            </numRef>
          </xVal>
          <yVal>
            <numRef>
              <f>'Campos-Villareal Data'!$O$3:$O$6</f>
              <numCache>
                <formatCode>0.000</formatCode>
                <ptCount val="4"/>
                <pt idx="0">
                  <v>0</v>
                </pt>
                <pt idx="1">
                  <v>0.2365976685983669</v>
                </pt>
                <pt idx="2">
                  <v>0.4689777644594104</v>
                </pt>
                <pt idx="3">
                  <v>0.6310927884923879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971268128"/>
        <axId val="971277248"/>
      </scatterChart>
      <valAx>
        <axId val="971268128"/>
        <scaling>
          <orientation val="minMax"/>
          <max val="4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NaCl (mol</a:t>
                </a:r>
                <a:r>
                  <a:rPr lang="en-US" baseline="0"/>
                  <a:t> </a:t>
                </a:r>
                <a:r>
                  <a:rPr lang="en-US"/>
                  <a:t>m</a:t>
                </a:r>
                <a:r>
                  <a:rPr lang="en-US" baseline="30000"/>
                  <a:t>-3</a:t>
                </a:r>
                <a:r>
                  <a:rPr lang="en-US" baseline="0"/>
                  <a:t>)</a:t>
                </a:r>
                <a:endParaRPr lang="en-US"/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71277248"/>
        <crosses val="autoZero"/>
        <crossBetween val="midCat"/>
      </valAx>
      <valAx>
        <axId val="97127724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Photosynthetic Rate (µmol m</a:t>
                </a:r>
                <a:r>
                  <a:rPr lang="en-US" baseline="30000"/>
                  <a:t>-2</a:t>
                </a:r>
                <a:r>
                  <a:rPr lang="en-US" baseline="0"/>
                  <a:t xml:space="preserve"> s</a:t>
                </a:r>
                <a:r>
                  <a:rPr lang="en-US" baseline="30000"/>
                  <a:t>-1</a:t>
                </a:r>
                <a:r>
                  <a:rPr lang="en-US" baseline="0"/>
                  <a:t>)</a:t>
                </a:r>
                <a:endParaRPr lang="en-US"/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0.000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71268128"/>
        <crosses val="autoZero"/>
        <crossBetween val="midCat"/>
      </valAx>
    </plotArea>
    <legend>
      <legendPos val="r"/>
      <legendEntry>
        <idx val="6"/>
        <delete val="1"/>
      </legendEntry>
      <layout>
        <manualLayout>
          <xMode val="edge"/>
          <yMode val="edge"/>
          <wMode val="factor"/>
          <hMode val="factor"/>
          <x val="0.1018006212526187"/>
          <y val="0.02286085929044496"/>
          <w val="0.3209041392761685"/>
          <h val="0.4199279125418276"/>
        </manualLayout>
      </layout>
      <overlay val="0"/>
      <spPr>
        <a:solidFill>
          <a:schemeClr val="bg1"/>
        </a:solidFill>
        <a:ln>
          <a:solidFill>
            <a:schemeClr val="tx1"/>
          </a:solidFill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828076872118142"/>
          <y val="0.07449074074074075"/>
          <w val="0.8585149634768745"/>
          <h val="0.7972868788431788"/>
        </manualLayout>
      </layout>
      <scatterChart>
        <scatterStyle val="lineMarker"/>
        <varyColors val="0"/>
        <ser>
          <idx val="0"/>
          <order val="0"/>
          <tx>
            <v>Unpecified Cultivar (Treated with microrhizal fungi)</v>
          </tx>
          <spPr>
            <a:ln w="25400" cap="rnd">
              <a:noFill/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trendline>
            <spPr>
              <a:ln w="19050" cap="rnd">
                <a:solidFill>
                  <a:schemeClr val="accent1"/>
                </a:solidFill>
                <a:prstDash val="sysDot"/>
              </a:ln>
            </spPr>
            <trendlineType val="power"/>
            <dispRSqr val="0"/>
            <dispEq val="0"/>
          </trendline>
          <errBars>
            <errDir val="x"/>
            <errBarType val="both"/>
            <errValType val="stdErr"/>
            <noEndCap val="0"/>
            <spPr>
              <a:noFill/>
              <a:ln w="9525" cap="flat" cmpd="sng" algn="ctr">
                <a:noFill/>
                <a:prstDash val="solid"/>
                <a:round/>
              </a:ln>
            </spPr>
          </errBars>
          <xVal>
            <numRef>
              <f>'Sanchez-Ledesma Data'!$A$2:$A$6</f>
              <numCache>
                <formatCode>General</formatCode>
                <ptCount val="5"/>
                <pt idx="0">
                  <v>0</v>
                </pt>
                <pt idx="1">
                  <v>20</v>
                </pt>
                <pt idx="2">
                  <v>25</v>
                </pt>
                <pt idx="3">
                  <v>30</v>
                </pt>
                <pt idx="4">
                  <v>35</v>
                </pt>
              </numCache>
            </numRef>
          </xVal>
          <yVal>
            <numRef>
              <f>'Sanchez-Ledesma Data'!$F$2:$F$6</f>
              <numCache>
                <formatCode>General</formatCode>
                <ptCount val="5"/>
                <pt idx="0">
                  <v>0.08</v>
                </pt>
                <pt idx="1">
                  <v>0.08</v>
                </pt>
                <pt idx="2">
                  <v>0.07000000000000001</v>
                </pt>
                <pt idx="3">
                  <v>0.05</v>
                </pt>
                <pt idx="4">
                  <v>0.05</v>
                </pt>
              </numCache>
            </numRef>
          </yVal>
          <smooth val="0"/>
        </ser>
        <ser>
          <idx val="1"/>
          <order val="1"/>
          <tx>
            <v>Apache</v>
          </tx>
          <spPr>
            <a:ln w="25400" cap="rnd">
              <a:noFill/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xVal>
            <numRef>
              <f>'Campos-Villareal Data'!$B$3:$B$6</f>
              <numCache>
                <formatCode>General</formatCode>
                <ptCount val="4"/>
                <pt idx="0">
                  <v>0.8</v>
                </pt>
                <pt idx="1">
                  <v>25</v>
                </pt>
                <pt idx="2">
                  <v>30</v>
                </pt>
                <pt idx="3">
                  <v>35</v>
                </pt>
              </numCache>
            </numRef>
          </xVal>
          <yVal>
            <numRef>
              <f>'Campos-Villareal Data'!$C$3:$C$6</f>
              <numCache>
                <formatCode>General</formatCode>
                <ptCount val="4"/>
                <pt idx="0">
                  <v>0.0212</v>
                </pt>
                <pt idx="1">
                  <v>0.0285</v>
                </pt>
                <pt idx="2">
                  <v>0.0181</v>
                </pt>
                <pt idx="3">
                  <v>0.009900000000000001</v>
                </pt>
              </numCache>
            </numRef>
          </yVal>
          <smooth val="0"/>
        </ser>
        <ser>
          <idx val="2"/>
          <order val="2"/>
          <tx>
            <v>Riverside</v>
          </tx>
          <spPr>
            <a:ln w="25400" cap="rnd">
              <a:noFill/>
              <a:prstDash val="solid"/>
              <a:round/>
            </a:ln>
          </spPr>
          <marker>
            <symbol val="circle"/>
            <size val="5"/>
            <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spPr>
          </marker>
          <xVal>
            <numRef>
              <f>'Campos-Villareal Data'!$B$11:$B$14</f>
              <numCache>
                <formatCode>General</formatCode>
                <ptCount val="4"/>
                <pt idx="0">
                  <v>0.8</v>
                </pt>
                <pt idx="1">
                  <v>25</v>
                </pt>
                <pt idx="2">
                  <v>30</v>
                </pt>
                <pt idx="3">
                  <v>35</v>
                </pt>
              </numCache>
            </numRef>
          </xVal>
          <yVal>
            <numRef>
              <f>'Campos-Villareal Data'!$D$3:$D$6</f>
              <numCache>
                <formatCode>General</formatCode>
                <ptCount val="4"/>
                <pt idx="0">
                  <v>0.0333</v>
                </pt>
                <pt idx="1">
                  <v>0.0149</v>
                </pt>
                <pt idx="2">
                  <v>0.0083</v>
                </pt>
                <pt idx="3">
                  <v>0.0072</v>
                </pt>
              </numCache>
            </numRef>
          </yVal>
          <smooth val="0"/>
        </ser>
        <ser>
          <idx val="3"/>
          <order val="3"/>
          <tx>
            <v>SVA1</v>
          </tx>
          <spPr>
            <a:ln w="25400" cap="rnd">
              <a:noFill/>
              <a:prstDash val="solid"/>
              <a:round/>
            </a:ln>
          </spPr>
          <marker>
            <symbol val="circle"/>
            <size val="5"/>
            <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spPr>
          </marker>
          <xVal>
            <numRef>
              <f>'Campos-Villareal Data'!$B$11:$B$14</f>
              <numCache>
                <formatCode>General</formatCode>
                <ptCount val="4"/>
                <pt idx="0">
                  <v>0.8</v>
                </pt>
                <pt idx="1">
                  <v>25</v>
                </pt>
                <pt idx="2">
                  <v>30</v>
                </pt>
                <pt idx="3">
                  <v>35</v>
                </pt>
              </numCache>
            </numRef>
          </xVal>
          <yVal>
            <numRef>
              <f>'Campos-Villareal Data'!$E$3:$E$6</f>
              <numCache>
                <formatCode>General</formatCode>
                <ptCount val="4"/>
                <pt idx="0">
                  <v>0.0179</v>
                </pt>
                <pt idx="1">
                  <v>0.0141</v>
                </pt>
                <pt idx="2">
                  <v>0.0097</v>
                </pt>
                <pt idx="3">
                  <v>0.0063</v>
                </pt>
              </numCache>
            </numRef>
          </yVal>
          <smooth val="0"/>
        </ser>
        <ser>
          <idx val="4"/>
          <order val="4"/>
          <tx>
            <v>SVA2</v>
          </tx>
          <spPr>
            <a:ln w="25400" cap="rnd">
              <a:noFill/>
              <a:prstDash val="solid"/>
              <a:round/>
            </a:ln>
          </spPr>
          <marker>
            <symbol val="circle"/>
            <size val="5"/>
            <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spPr>
          </marker>
          <xVal>
            <numRef>
              <f>'Campos-Villareal Data'!$B$11:$B$14</f>
              <numCache>
                <formatCode>General</formatCode>
                <ptCount val="4"/>
                <pt idx="0">
                  <v>0.8</v>
                </pt>
                <pt idx="1">
                  <v>25</v>
                </pt>
                <pt idx="2">
                  <v>30</v>
                </pt>
                <pt idx="3">
                  <v>35</v>
                </pt>
              </numCache>
            </numRef>
          </xVal>
          <yVal>
            <numRef>
              <f>'Campos-Villareal Data'!$F$3:$F$6</f>
              <numCache>
                <formatCode>General</formatCode>
                <ptCount val="4"/>
                <pt idx="0">
                  <v>0.0336</v>
                </pt>
                <pt idx="1">
                  <v>0.0275</v>
                </pt>
                <pt idx="2">
                  <v>0.0161</v>
                </pt>
                <pt idx="3">
                  <v>0.0148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971268128"/>
        <axId val="971277248"/>
      </scatterChart>
      <valAx>
        <axId val="971268128"/>
        <scaling>
          <orientation val="minMax"/>
          <max val="4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NaCl (mol</a:t>
                </a:r>
                <a:r>
                  <a:rPr lang="en-US" baseline="0"/>
                  <a:t> </a:t>
                </a:r>
                <a:r>
                  <a:rPr lang="en-US"/>
                  <a:t>m</a:t>
                </a:r>
                <a:r>
                  <a:rPr lang="en-US" baseline="30000"/>
                  <a:t>-3</a:t>
                </a:r>
                <a:r>
                  <a:rPr lang="en-US" baseline="0"/>
                  <a:t>)</a:t>
                </a:r>
                <a:endParaRPr lang="en-US"/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71277248"/>
        <crosses val="autoZero"/>
        <crossBetween val="midCat"/>
      </valAx>
      <valAx>
        <axId val="971277248"/>
        <scaling>
          <orientation val="minMax"/>
          <max val="0.1"/>
          <min val="0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Photosynthetic Rate (µmol m</a:t>
                </a:r>
                <a:r>
                  <a:rPr lang="en-US" baseline="30000"/>
                  <a:t>-2</a:t>
                </a:r>
                <a:r>
                  <a:rPr lang="en-US" baseline="0"/>
                  <a:t xml:space="preserve"> s</a:t>
                </a:r>
                <a:r>
                  <a:rPr lang="en-US" baseline="30000"/>
                  <a:t>-1</a:t>
                </a:r>
                <a:r>
                  <a:rPr lang="en-US" baseline="0"/>
                  <a:t>)</a:t>
                </a:r>
                <a:endParaRPr lang="en-US"/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71268128"/>
        <crosses val="autoZero"/>
        <crossBetween val="midCat"/>
      </valAx>
    </plotArea>
    <legend>
      <legendPos val="r"/>
      <legendEntry>
        <idx val="5"/>
        <delete val="1"/>
      </legendEntry>
      <layout>
        <manualLayout>
          <xMode val="edge"/>
          <yMode val="edge"/>
          <wMode val="factor"/>
          <hMode val="factor"/>
          <x val="0.7602538144270429"/>
          <y val="0.07738260964542105"/>
          <w val="0.1836084912462866"/>
          <h val="0.3319587731230949"/>
        </manualLayout>
      </layout>
      <overlay val="0"/>
      <spPr>
        <a:solidFill>
          <a:schemeClr val="bg1"/>
        </a:solidFill>
        <a:ln>
          <a:solidFill>
            <a:schemeClr val="tx1"/>
          </a:solidFill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2.xml" Id="rId1" /></Relationships>
</file>

<file path=xl/chartsheets/_rels/sheet2.xml.rels><Relationships xmlns="http://schemas.openxmlformats.org/package/2006/relationships"><Relationship Type="http://schemas.openxmlformats.org/officeDocument/2006/relationships/drawing" Target="/xl/drawings/drawing3.xml" Id="rId1" /></Relationships>
</file>

<file path=xl/chartsheets/_rels/sheet3.xml.rels><Relationships xmlns="http://schemas.openxmlformats.org/package/2006/relationships"><Relationship Type="http://schemas.openxmlformats.org/officeDocument/2006/relationships/drawing" Target="/xl/drawings/drawing4.xml" Id="rId1" /></Relationships>
</file>

<file path=xl/chartsheets/sheet1.xml><?xml version="1.0" encoding="utf-8"?>
<chartsheet xmlns:r="http://schemas.openxmlformats.org/officeDocument/2006/relationships" xmlns="http://schemas.openxmlformats.org/spreadsheetml/2006/main">
  <sheetPr/>
  <sheetViews>
    <sheetView zoomScale="96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:r="http://schemas.openxmlformats.org/officeDocument/2006/relationships" xmlns="http://schemas.openxmlformats.org/spreadsheetml/2006/main">
  <sheetPr/>
  <sheetViews>
    <sheetView zoomScale="96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:r="http://schemas.openxmlformats.org/officeDocument/2006/relationships" xmlns="http://schemas.openxmlformats.org/spreadsheetml/2006/main">
  <sheetPr/>
  <sheetViews>
    <sheetView zoomScale="96" workbookViewId="0" zoomToFit="1"/>
  </sheetViews>
  <pageMargins left="0.7" right="0.7" top="0.75" bottom="0.75" header="0.3" footer="0.3"/>
  <drawing r:id="rId1"/>
</chartsheet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8</col>
      <colOff>0</colOff>
      <row>1</row>
      <rowOff>0</rowOff>
    </from>
    <to>
      <col>14</col>
      <colOff>209884</colOff>
      <row>38</row>
      <rowOff>55831</rowOff>
    </to>
    <pic>
      <nvPicPr>
        <cNvPr id="2" name="Picture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6240125" y="0"/>
          <a:ext cx="3856054" cy="6767146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8</col>
      <colOff>0</colOff>
      <row>41</row>
      <rowOff>0</rowOff>
    </from>
    <to>
      <col>14</col>
      <colOff>495660</colOff>
      <row>81</row>
      <rowOff>102554</rowOff>
    </to>
    <pic>
      <nvPicPr>
        <cNvPr id="3" name="Picture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16240125" y="6877050"/>
          <a:ext cx="4153260" cy="734631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E18" sqref="E18"/>
    </sheetView>
  </sheetViews>
  <sheetFormatPr baseColWidth="8" defaultRowHeight="14.25"/>
  <cols>
    <col width="44.53125" customWidth="1" min="1" max="1"/>
    <col width="26.46484375" bestFit="1" customWidth="1" min="2" max="2"/>
    <col width="21.6640625" bestFit="1" customWidth="1" min="3" max="3"/>
    <col width="21.6640625" customWidth="1" min="4" max="5"/>
    <col width="32.1328125" bestFit="1" customWidth="1" min="6" max="6"/>
    <col width="28.6640625" bestFit="1" customWidth="1" min="7" max="7"/>
    <col width="32.1328125" customWidth="1" min="8" max="9"/>
    <col width="32.1328125" bestFit="1" customWidth="1" min="10" max="10"/>
    <col width="20.1328125" bestFit="1" customWidth="1" min="11" max="11"/>
  </cols>
  <sheetData>
    <row r="1">
      <c r="A1" t="inlineStr">
        <is>
          <t>Soil_Salt_Concentration_mol_m3</t>
        </is>
      </c>
      <c r="B1" s="8" t="inlineStr">
        <is>
          <t>Photosynthesis_uM_m-2_s-1</t>
        </is>
      </c>
      <c r="C1" s="8" t="inlineStr">
        <is>
          <t>Std_Err_Photosynthesis</t>
        </is>
      </c>
      <c r="D1" s="8" t="inlineStr">
        <is>
          <t>Percent_Baseline</t>
        </is>
      </c>
      <c r="E1" s="8" t="inlineStr">
        <is>
          <t>Percent_Reduction</t>
        </is>
      </c>
      <c r="F1" t="inlineStr">
        <is>
          <t>Stomatal_conductance_M_m-2_s-1</t>
        </is>
      </c>
      <c r="G1" t="inlineStr">
        <is>
          <t>Std_Err_Stomatal_Conductance</t>
        </is>
      </c>
      <c r="H1" t="inlineStr">
        <is>
          <t>Percent_Baseline</t>
        </is>
      </c>
      <c r="I1" t="inlineStr">
        <is>
          <t>Percent_Reduction</t>
        </is>
      </c>
      <c r="J1" t="inlineStr">
        <is>
          <t>Transpiration_mM_m-2_s-1</t>
        </is>
      </c>
      <c r="K1" t="inlineStr">
        <is>
          <t>Std_Err_Transpiration</t>
        </is>
      </c>
    </row>
    <row r="2">
      <c r="A2" t="n">
        <v>0</v>
      </c>
      <c r="B2" t="n">
        <v>7</v>
      </c>
      <c r="C2" t="n">
        <v>0.57</v>
      </c>
      <c r="D2" s="6" t="n">
        <v>1</v>
      </c>
      <c r="E2" s="6">
        <f>1-D2</f>
        <v/>
      </c>
      <c r="F2" t="n">
        <v>0.08</v>
      </c>
      <c r="G2" t="n">
        <v>0.007</v>
      </c>
      <c r="H2" s="6" t="n">
        <v>1</v>
      </c>
      <c r="I2" s="6">
        <f>1-H2</f>
        <v/>
      </c>
      <c r="J2" t="n">
        <v>2.18</v>
      </c>
      <c r="K2" t="n">
        <v>0.24</v>
      </c>
    </row>
    <row r="3">
      <c r="A3" t="n">
        <v>20</v>
      </c>
      <c r="B3" t="n">
        <v>6</v>
      </c>
      <c r="C3" t="n">
        <v>0.18</v>
      </c>
      <c r="D3" s="6">
        <f>1-($B$2-B3)/$B$2</f>
        <v/>
      </c>
      <c r="E3" s="6">
        <f>1-D3</f>
        <v/>
      </c>
      <c r="F3" t="n">
        <v>0.08</v>
      </c>
      <c r="G3" t="n">
        <v>0.008999999999999999</v>
      </c>
      <c r="H3" s="6">
        <f>1-($F$2-F3)/$F$2</f>
        <v/>
      </c>
      <c r="I3" s="6">
        <f>1-H3</f>
        <v/>
      </c>
      <c r="J3" t="n">
        <v>1.68</v>
      </c>
      <c r="K3" t="n">
        <v>0.23</v>
      </c>
    </row>
    <row r="4">
      <c r="A4" t="n">
        <v>25</v>
      </c>
      <c r="B4" t="n">
        <v>5.1</v>
      </c>
      <c r="C4" t="n">
        <v>0.08</v>
      </c>
      <c r="D4" s="6">
        <f>1-($B$2-B4)/$B$2</f>
        <v/>
      </c>
      <c r="E4" s="6">
        <f>1-D4</f>
        <v/>
      </c>
      <c r="F4" t="n">
        <v>0.07000000000000001</v>
      </c>
      <c r="G4" t="n">
        <v>0.01</v>
      </c>
      <c r="H4" s="6">
        <f>1-($F$2-F4)/$F$2</f>
        <v/>
      </c>
      <c r="I4" s="6">
        <f>1-H4</f>
        <v/>
      </c>
      <c r="J4" t="n">
        <v>1.69</v>
      </c>
      <c r="K4" t="n">
        <v>0.25</v>
      </c>
    </row>
    <row r="5">
      <c r="A5" t="n">
        <v>30</v>
      </c>
      <c r="B5" t="n">
        <v>4.8</v>
      </c>
      <c r="C5" t="n">
        <v>0.3</v>
      </c>
      <c r="D5" s="6">
        <f>1-($B$2-B5)/$B$2</f>
        <v/>
      </c>
      <c r="E5" s="6">
        <f>1-D5</f>
        <v/>
      </c>
      <c r="F5" t="n">
        <v>0.05</v>
      </c>
      <c r="G5" t="n">
        <v>0.003</v>
      </c>
      <c r="H5" s="6">
        <f>1-($F$2-F5)/$F$2</f>
        <v/>
      </c>
      <c r="I5" s="6">
        <f>1-H5</f>
        <v/>
      </c>
      <c r="J5" t="n">
        <v>1.22</v>
      </c>
      <c r="K5" t="n">
        <v>0.08</v>
      </c>
    </row>
    <row r="6">
      <c r="A6" t="n">
        <v>35</v>
      </c>
      <c r="B6" t="n">
        <v>4</v>
      </c>
      <c r="C6" t="n">
        <v>0.63</v>
      </c>
      <c r="D6" s="6">
        <f>1-($B$2-B6)/$B$2</f>
        <v/>
      </c>
      <c r="E6" s="6">
        <f>1-D6</f>
        <v/>
      </c>
      <c r="F6" t="n">
        <v>0.05</v>
      </c>
      <c r="G6" t="n">
        <v>0.003</v>
      </c>
      <c r="H6" s="6">
        <f>1-($F$2-F6)/$F$2</f>
        <v/>
      </c>
      <c r="I6" s="6">
        <f>1-H6</f>
        <v/>
      </c>
      <c r="J6" t="n">
        <v>1.2</v>
      </c>
      <c r="K6" t="n">
        <v>0.15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E11" sqref="E11"/>
    </sheetView>
  </sheetViews>
  <sheetFormatPr baseColWidth="8" defaultRowHeight="14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4"/>
  <sheetViews>
    <sheetView workbookViewId="0">
      <selection activeCell="C22" sqref="C22"/>
    </sheetView>
  </sheetViews>
  <sheetFormatPr baseColWidth="8" defaultRowHeight="14.25"/>
  <cols>
    <col width="13.46484375" customWidth="1" min="1" max="1"/>
    <col width="42.53125" customWidth="1" min="2" max="2"/>
    <col width="13.33203125" customWidth="1" min="3" max="3"/>
    <col width="11.1328125" customWidth="1" min="4" max="4"/>
    <col width="12.53125" customWidth="1" min="5" max="5"/>
    <col width="13.53125" customWidth="1" min="6" max="6"/>
    <col width="23.86328125" bestFit="1" customWidth="1" min="7" max="7"/>
    <col width="25.33203125" bestFit="1" customWidth="1" min="8" max="8"/>
    <col width="21.53125" bestFit="1" customWidth="1" min="9" max="10"/>
    <col width="15" customWidth="1" min="14" max="14"/>
    <col width="22.53125" bestFit="1" customWidth="1" min="15" max="15"/>
  </cols>
  <sheetData>
    <row r="1" ht="14.65" customHeight="1" thickBot="1">
      <c r="A1" s="4" t="inlineStr">
        <is>
          <t>Stomatal Conductance (mol H2O/m2/s</t>
        </is>
      </c>
      <c r="B1" s="5" t="n"/>
      <c r="C1" s="5" t="n"/>
      <c r="D1" s="5" t="n"/>
      <c r="E1" s="5" t="n"/>
      <c r="F1" s="5" t="n"/>
    </row>
    <row r="2" ht="33.4" customHeight="1" thickBot="1">
      <c r="A2" s="1" t="inlineStr">
        <is>
          <t>Salinity (dS·m⁻¹)</t>
        </is>
      </c>
      <c r="B2" s="1" t="inlineStr">
        <is>
          <t>Salinity(mMol) (Approximate)</t>
        </is>
      </c>
      <c r="C2" s="1" t="inlineStr">
        <is>
          <t>Apache</t>
        </is>
      </c>
      <c r="D2" s="1" t="inlineStr">
        <is>
          <t>Riverside</t>
        </is>
      </c>
      <c r="E2" s="1" t="inlineStr">
        <is>
          <t>SVA1</t>
        </is>
      </c>
      <c r="F2" s="1" t="inlineStr">
        <is>
          <t>SVA2</t>
        </is>
      </c>
      <c r="G2" s="7">
        <f>CONCATENATE("Percent_Baseline_",C2)</f>
        <v/>
      </c>
      <c r="H2" s="7">
        <f>CONCATENATE("Percent_Baseline_",D2)</f>
        <v/>
      </c>
      <c r="I2" s="7">
        <f>CONCATENATE("Percent_Baseline_",E2)</f>
        <v/>
      </c>
      <c r="J2" s="7">
        <f>CONCATENATE("Percent_Baseline_",F2)</f>
        <v/>
      </c>
      <c r="K2" s="7">
        <f>CONCATENATE("Percent_Reduction_",G2)</f>
        <v/>
      </c>
      <c r="L2" s="7">
        <f>CONCATENATE("Percent_Reduction_",H2)</f>
        <v/>
      </c>
      <c r="M2" s="7">
        <f>CONCATENATE("Percent_Reduction_",I2)</f>
        <v/>
      </c>
      <c r="N2" s="7">
        <f>CONCATENATE("Percent_Reduction_",J2)</f>
        <v/>
      </c>
      <c r="O2" s="9" t="inlineStr">
        <is>
          <t>Percent_Reduction_Avg</t>
        </is>
      </c>
    </row>
    <row r="3" ht="16.9" customHeight="1" thickBot="1">
      <c r="A3" s="2" t="n">
        <v>0.08</v>
      </c>
      <c r="B3" s="2">
        <f>A3*10</f>
        <v/>
      </c>
      <c r="C3" s="2" t="n">
        <v>0.0212</v>
      </c>
      <c r="D3" s="2" t="n">
        <v>0.0333</v>
      </c>
      <c r="E3" s="2" t="n">
        <v>0.0179</v>
      </c>
      <c r="F3" s="2" t="n">
        <v>0.0336</v>
      </c>
      <c r="G3">
        <f>1</f>
        <v/>
      </c>
      <c r="H3">
        <f>1</f>
        <v/>
      </c>
      <c r="I3">
        <f>1</f>
        <v/>
      </c>
      <c r="J3">
        <f>1</f>
        <v/>
      </c>
      <c r="K3">
        <f>1-G3</f>
        <v/>
      </c>
      <c r="L3">
        <f>1-H3</f>
        <v/>
      </c>
      <c r="M3">
        <f>1-I3</f>
        <v/>
      </c>
      <c r="N3">
        <f>1-J3</f>
        <v/>
      </c>
      <c r="O3" s="6">
        <f>AVERAGE(K3:N3)</f>
        <v/>
      </c>
    </row>
    <row r="4" ht="16.9" customHeight="1" thickBot="1">
      <c r="A4" s="2" t="n">
        <v>2.5</v>
      </c>
      <c r="B4" s="2">
        <f>A4*10</f>
        <v/>
      </c>
      <c r="C4" s="2" t="n">
        <v>0.0285</v>
      </c>
      <c r="D4" s="2" t="n">
        <v>0.0149</v>
      </c>
      <c r="E4" s="2" t="n">
        <v>0.0141</v>
      </c>
      <c r="F4" s="2" t="n">
        <v>0.0275</v>
      </c>
      <c r="G4" s="6">
        <f>MIN(1,1-(C$3-C4)/C$3)</f>
        <v/>
      </c>
      <c r="H4" s="6">
        <f>MIN(1,1-(D$3-D4)/D$3)</f>
        <v/>
      </c>
      <c r="I4" s="6">
        <f>MIN(1,1-(E$3-E4)/E$3)</f>
        <v/>
      </c>
      <c r="J4" s="6">
        <f>MIN(1,1-(F$3-F4)/F$3)</f>
        <v/>
      </c>
      <c r="K4" s="6">
        <f>1-G4</f>
        <v/>
      </c>
      <c r="L4" s="6">
        <f>1-H4</f>
        <v/>
      </c>
      <c r="M4" s="6">
        <f>1-I4</f>
        <v/>
      </c>
      <c r="N4" s="6">
        <f>1-J4</f>
        <v/>
      </c>
      <c r="O4" s="6">
        <f>AVERAGE(K4:N4)</f>
        <v/>
      </c>
    </row>
    <row r="5" ht="16.9" customHeight="1" thickBot="1">
      <c r="A5" s="2" t="n">
        <v>3</v>
      </c>
      <c r="B5" s="2">
        <f>A5*10</f>
        <v/>
      </c>
      <c r="C5" s="2" t="n">
        <v>0.0181</v>
      </c>
      <c r="D5" s="2" t="n">
        <v>0.0083</v>
      </c>
      <c r="E5" s="2" t="n">
        <v>0.0097</v>
      </c>
      <c r="F5" s="2" t="n">
        <v>0.0161</v>
      </c>
      <c r="G5" s="6">
        <f>MIN(1,1-(C$3-C5)/C$3)</f>
        <v/>
      </c>
      <c r="H5" s="6">
        <f>MIN(1,1-(D$3-D5)/D$3)</f>
        <v/>
      </c>
      <c r="I5" s="6">
        <f>MIN(1,1-(E$3-E5)/E$3)</f>
        <v/>
      </c>
      <c r="J5" s="6">
        <f>MIN(1,1-(F$3-F5)/F$3)</f>
        <v/>
      </c>
      <c r="K5" s="6">
        <f>1-G5</f>
        <v/>
      </c>
      <c r="L5" s="6">
        <f>1-H5</f>
        <v/>
      </c>
      <c r="M5" s="6">
        <f>1-I5</f>
        <v/>
      </c>
      <c r="N5" s="6">
        <f>1-J5</f>
        <v/>
      </c>
      <c r="O5" s="6">
        <f>AVERAGE(K5:N5)</f>
        <v/>
      </c>
    </row>
    <row r="6" ht="16.9" customHeight="1" thickBot="1">
      <c r="A6" s="2" t="n">
        <v>3.5</v>
      </c>
      <c r="B6" s="2">
        <f>A6*10</f>
        <v/>
      </c>
      <c r="C6" s="2" t="n">
        <v>0.009900000000000001</v>
      </c>
      <c r="D6" s="2" t="n">
        <v>0.0072</v>
      </c>
      <c r="E6" s="2" t="n">
        <v>0.0063</v>
      </c>
      <c r="F6" s="3" t="n">
        <v>0.0148</v>
      </c>
      <c r="G6" s="6">
        <f>MIN(1,1-(C$3-C6)/C$3)</f>
        <v/>
      </c>
      <c r="H6" s="6">
        <f>MIN(1,1-(D$3-D6)/D$3)</f>
        <v/>
      </c>
      <c r="I6" s="6">
        <f>MIN(1,1-(E$3-E6)/E$3)</f>
        <v/>
      </c>
      <c r="J6" s="6">
        <f>MIN(1,1-(F$3-F6)/F$3)</f>
        <v/>
      </c>
      <c r="K6" s="6">
        <f>1-G6</f>
        <v/>
      </c>
      <c r="L6" s="6">
        <f>1-H6</f>
        <v/>
      </c>
      <c r="M6" s="6">
        <f>1-I6</f>
        <v/>
      </c>
      <c r="N6" s="6">
        <f>1-J6</f>
        <v/>
      </c>
      <c r="O6" s="6">
        <f>AVERAGE(K6:N6)</f>
        <v/>
      </c>
    </row>
    <row r="9" ht="14.65" customHeight="1" thickBot="1">
      <c r="A9" s="4" t="inlineStr">
        <is>
          <t>Photosynthesis (umol CO2/m2/s)</t>
        </is>
      </c>
      <c r="B9" s="5" t="n"/>
      <c r="C9" s="5" t="n"/>
      <c r="D9" s="5" t="n"/>
      <c r="E9" s="5" t="n"/>
      <c r="F9" s="5" t="n"/>
    </row>
    <row r="10" ht="33.4" customHeight="1" thickBot="1">
      <c r="A10" s="1" t="inlineStr">
        <is>
          <t>Salinity (dS·m⁻¹)</t>
        </is>
      </c>
      <c r="B10" s="1" t="inlineStr">
        <is>
          <t>Salinity(mMol) (Approximate)</t>
        </is>
      </c>
      <c r="C10" s="1" t="inlineStr">
        <is>
          <t>Apache</t>
        </is>
      </c>
      <c r="D10" s="1" t="inlineStr">
        <is>
          <t>Riverside</t>
        </is>
      </c>
      <c r="E10" s="1" t="inlineStr">
        <is>
          <t>SVA1</t>
        </is>
      </c>
      <c r="F10" s="1" t="inlineStr">
        <is>
          <t>SVA2</t>
        </is>
      </c>
      <c r="G10" s="7">
        <f>CONCATENATE("Percent_Baseline_",C10)</f>
        <v/>
      </c>
      <c r="H10" s="7">
        <f>CONCATENATE("Percent_Baseline_",D10)</f>
        <v/>
      </c>
      <c r="I10" s="7">
        <f>CONCATENATE("Percent_Baseline_",E10)</f>
        <v/>
      </c>
      <c r="J10" s="7">
        <f>CONCATENATE("Percent_Baseline_",F10)</f>
        <v/>
      </c>
      <c r="K10" s="7">
        <f>CONCATENATE("Percent_Reduction_",G10)</f>
        <v/>
      </c>
      <c r="L10" s="7">
        <f>CONCATENATE("Percent_Reduction_",H10)</f>
        <v/>
      </c>
      <c r="M10" s="7">
        <f>CONCATENATE("Percent_Reduction_",I10)</f>
        <v/>
      </c>
      <c r="N10" s="7">
        <f>CONCATENATE("Percent_Reduction_",J10)</f>
        <v/>
      </c>
    </row>
    <row r="11" ht="16.9" customHeight="1" thickBot="1">
      <c r="A11" s="2" t="n">
        <v>0.08</v>
      </c>
      <c r="B11">
        <f>A11*10</f>
        <v/>
      </c>
      <c r="C11" s="2" t="n">
        <v>5.2</v>
      </c>
      <c r="D11" s="2" t="n">
        <v>5.3</v>
      </c>
      <c r="E11" s="2" t="n">
        <v>5.2</v>
      </c>
      <c r="F11" s="2" t="n">
        <v>4.3</v>
      </c>
      <c r="G11">
        <f>1</f>
        <v/>
      </c>
      <c r="H11">
        <f>1</f>
        <v/>
      </c>
      <c r="I11">
        <f>1</f>
        <v/>
      </c>
      <c r="J11">
        <f>1</f>
        <v/>
      </c>
      <c r="K11">
        <f>1-G11</f>
        <v/>
      </c>
      <c r="L11">
        <f>1-H11</f>
        <v/>
      </c>
      <c r="M11">
        <f>1-I11</f>
        <v/>
      </c>
      <c r="N11">
        <f>1-J11</f>
        <v/>
      </c>
    </row>
    <row r="12" ht="16.9" customHeight="1" thickBot="1">
      <c r="A12" s="2" t="n">
        <v>2.5</v>
      </c>
      <c r="B12">
        <f>A12*10</f>
        <v/>
      </c>
      <c r="C12" s="2" t="n">
        <v>3.7</v>
      </c>
      <c r="D12" s="2" t="n">
        <v>4.3</v>
      </c>
      <c r="E12" s="2" t="n">
        <v>4.7</v>
      </c>
      <c r="F12" s="2" t="n">
        <v>4</v>
      </c>
      <c r="G12" s="6">
        <f>MIN(1,1-(C$11-C12)/C$11)</f>
        <v/>
      </c>
      <c r="H12" s="6">
        <f>MIN(1,1-(D$11-D12)/D$11)</f>
        <v/>
      </c>
      <c r="I12" s="6">
        <f>MIN(1,1-(E$11-E12)/E$11)</f>
        <v/>
      </c>
      <c r="J12" s="6">
        <f>MIN(1,1-(F$11-F12)/F$11)</f>
        <v/>
      </c>
      <c r="K12" s="6">
        <f>1-G12</f>
        <v/>
      </c>
      <c r="L12" s="6">
        <f>1-H12</f>
        <v/>
      </c>
      <c r="M12" s="6">
        <f>1-I12</f>
        <v/>
      </c>
      <c r="N12" s="6">
        <f>1-J12</f>
        <v/>
      </c>
    </row>
    <row r="13" ht="16.9" customHeight="1" thickBot="1">
      <c r="A13" s="2" t="n">
        <v>3</v>
      </c>
      <c r="B13">
        <f>A13*10</f>
        <v/>
      </c>
      <c r="C13" s="2" t="n">
        <v>2.6</v>
      </c>
      <c r="D13" s="2" t="n">
        <v>3.7</v>
      </c>
      <c r="E13" s="2" t="n">
        <v>3.9</v>
      </c>
      <c r="F13" s="2" t="n">
        <v>2.7</v>
      </c>
      <c r="G13" s="6">
        <f>MIN(1,1-(C$11-C13)/C$11)</f>
        <v/>
      </c>
      <c r="H13" s="6">
        <f>MIN(1,1-(D$11-D13)/D$11)</f>
        <v/>
      </c>
      <c r="I13" s="6">
        <f>MIN(1,1-(E$11-E13)/E$11)</f>
        <v/>
      </c>
      <c r="J13" s="6">
        <f>MIN(1,1-(F$11-F13)/F$11)</f>
        <v/>
      </c>
      <c r="K13" s="6">
        <f>1-G13</f>
        <v/>
      </c>
      <c r="L13" s="6">
        <f>1-H13</f>
        <v/>
      </c>
      <c r="M13" s="6">
        <f>1-I13</f>
        <v/>
      </c>
      <c r="N13" s="6">
        <f>1-J13</f>
        <v/>
      </c>
    </row>
    <row r="14" ht="16.9" customHeight="1" thickBot="1">
      <c r="A14" s="2" t="n">
        <v>3.5</v>
      </c>
      <c r="B14">
        <f>A14*10</f>
        <v/>
      </c>
      <c r="C14" s="2" t="n">
        <v>1.8</v>
      </c>
      <c r="D14" s="2" t="n">
        <v>3.7</v>
      </c>
      <c r="E14" s="2" t="n">
        <v>2.9</v>
      </c>
      <c r="F14" s="2" t="n">
        <v>2.6</v>
      </c>
      <c r="G14" s="6">
        <f>MIN(1,1-(C$11-C14)/C$11)</f>
        <v/>
      </c>
      <c r="H14" s="6">
        <f>MIN(1,1-(D$11-D14)/D$11)</f>
        <v/>
      </c>
      <c r="I14" s="6">
        <f>MIN(1,1-(E$11-E14)/E$11)</f>
        <v/>
      </c>
      <c r="J14" s="6">
        <f>MIN(1,1-(F$11-F14)/F$11)</f>
        <v/>
      </c>
      <c r="K14" s="6">
        <f>1-G14</f>
        <v/>
      </c>
      <c r="L14" s="6">
        <f>1-H14</f>
        <v/>
      </c>
      <c r="M14" s="6">
        <f>1-I14</f>
        <v/>
      </c>
      <c r="N14" s="6">
        <f>1-J14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22"/>
  <sheetViews>
    <sheetView workbookViewId="0">
      <selection activeCell="E15" sqref="E15"/>
    </sheetView>
  </sheetViews>
  <sheetFormatPr baseColWidth="8" defaultRowHeight="14.25"/>
  <cols>
    <col width="27.86328125" customWidth="1" min="2" max="2"/>
    <col width="30.1328125" customWidth="1" min="3" max="3"/>
    <col width="53.1328125" customWidth="1" min="4" max="4"/>
    <col width="29.6640625" bestFit="1" customWidth="1" min="5" max="5"/>
    <col width="48.6640625" customWidth="1" min="6" max="6"/>
    <col width="38.796875" bestFit="1" customWidth="1" min="7" max="7"/>
  </cols>
  <sheetData>
    <row r="2">
      <c r="B2" s="12" t="inlineStr">
        <is>
          <t>Leaf Dry Weight per Area taken From:</t>
        </is>
      </c>
    </row>
    <row r="3">
      <c r="B3" t="inlineStr">
        <is>
          <t xml:space="preserve">Biological and Practical Importanceof Light Microenvironments in aTree: Participatory Research to Match Teaching and Learning Styles </t>
        </is>
      </c>
    </row>
    <row r="4">
      <c r="B4" t="inlineStr">
        <is>
          <t>G. A. Picchioni, S. A. Weinbaum,D. L. Daniel, and H. Karaca</t>
        </is>
      </c>
    </row>
    <row r="5">
      <c r="B5" t="n">
        <v>2000</v>
      </c>
    </row>
    <row r="7">
      <c r="C7" s="12" t="inlineStr">
        <is>
          <t>Specific Leaf Weight (mg/cm2)</t>
        </is>
      </c>
      <c r="D7" s="12" t="inlineStr">
        <is>
          <t>Leaf Area in Model - From Average Lab measurement(cm2)</t>
        </is>
      </c>
      <c r="E7" s="12" t="inlineStr">
        <is>
          <t>Leaf Weight (kg)</t>
        </is>
      </c>
      <c r="F7" s="12" t="inlineStr">
        <is>
          <t xml:space="preserve">Storage Volume Leaf (model) per Leaf Area (m) </t>
        </is>
      </c>
      <c r="G7" s="12" t="inlineStr">
        <is>
          <t xml:space="preserve">Storage Volume Leaf (model)  (m3) </t>
        </is>
      </c>
    </row>
    <row r="8">
      <c r="B8" t="inlineStr">
        <is>
          <t>Inner Canopy</t>
        </is>
      </c>
      <c r="C8" t="n">
        <v>5.9</v>
      </c>
    </row>
    <row r="9">
      <c r="B9" t="inlineStr">
        <is>
          <t>Outer Canopy</t>
        </is>
      </c>
      <c r="C9" t="n">
        <v>9.199999999999999</v>
      </c>
    </row>
    <row r="10">
      <c r="B10" s="12" t="inlineStr">
        <is>
          <t>Average</t>
        </is>
      </c>
      <c r="C10" s="10">
        <f>AVERAGE(C8:C9)</f>
        <v/>
      </c>
      <c r="D10">
        <f>0.008*(100^2)</f>
        <v/>
      </c>
      <c r="E10">
        <f>C10*D10/1000000</f>
        <v/>
      </c>
      <c r="F10">
        <f>0.0504/1000</f>
        <v/>
      </c>
      <c r="G10">
        <f>(D10/(100^2))*F10</f>
        <v/>
      </c>
    </row>
    <row r="12">
      <c r="B12" s="12" t="inlineStr">
        <is>
          <t>Leaf Mass Concentrations from Campos-Villareal et. al, 2017</t>
        </is>
      </c>
    </row>
    <row r="14">
      <c r="B14" s="12" t="inlineStr">
        <is>
          <t>Soil NaCl Concentration (mM)</t>
        </is>
      </c>
      <c r="C14" s="12" t="inlineStr">
        <is>
          <t>NaCl in Leaf (mg/kg)</t>
        </is>
      </c>
      <c r="D14" s="12" t="inlineStr">
        <is>
          <t>NaCl in Leaf (Model Target) (mg)</t>
        </is>
      </c>
      <c r="E14" s="12" t="inlineStr">
        <is>
          <t>NaCl in Leaf (Model Target) (mol)</t>
        </is>
      </c>
      <c r="F14" s="12" t="inlineStr">
        <is>
          <t>Leaf Concentration NaCl after 48 days (mM)</t>
        </is>
      </c>
    </row>
    <row r="15">
      <c r="A15" s="12" t="inlineStr">
        <is>
          <t>Max</t>
        </is>
      </c>
      <c r="B15" s="12">
        <f>0.08*10</f>
        <v/>
      </c>
      <c r="C15" t="n">
        <v>420</v>
      </c>
      <c r="D15">
        <f>C15*$E$10</f>
        <v/>
      </c>
      <c r="E15">
        <f>D15/58400</f>
        <v/>
      </c>
      <c r="F15" s="11">
        <f>E15/$G$10</f>
        <v/>
      </c>
    </row>
    <row r="16">
      <c r="A16" s="12" t="inlineStr">
        <is>
          <t>Min</t>
        </is>
      </c>
      <c r="B16" s="12">
        <f>0.08*10</f>
        <v/>
      </c>
      <c r="C16" t="n">
        <v>180</v>
      </c>
      <c r="D16">
        <f>C16*$E$10</f>
        <v/>
      </c>
      <c r="E16">
        <f>D16/58400</f>
        <v/>
      </c>
      <c r="F16" s="11">
        <f>E16/$G$10</f>
        <v/>
      </c>
    </row>
    <row r="17">
      <c r="A17" s="12" t="inlineStr">
        <is>
          <t>Max</t>
        </is>
      </c>
      <c r="B17" s="12">
        <f>25</f>
        <v/>
      </c>
      <c r="C17" t="n">
        <v>950</v>
      </c>
      <c r="D17">
        <f>C17*$E$10</f>
        <v/>
      </c>
      <c r="E17">
        <f>D17/58400</f>
        <v/>
      </c>
      <c r="F17" s="11">
        <f>E17/$G$10</f>
        <v/>
      </c>
    </row>
    <row r="18">
      <c r="A18" s="12" t="inlineStr">
        <is>
          <t>Min</t>
        </is>
      </c>
      <c r="B18" s="12">
        <f>25</f>
        <v/>
      </c>
      <c r="C18" t="n">
        <v>370</v>
      </c>
      <c r="D18">
        <f>C18*$E$10</f>
        <v/>
      </c>
      <c r="E18">
        <f>D18/58400</f>
        <v/>
      </c>
      <c r="F18" s="11">
        <f>E18/$G$10</f>
        <v/>
      </c>
    </row>
    <row r="19">
      <c r="A19" s="12" t="inlineStr">
        <is>
          <t>Max</t>
        </is>
      </c>
      <c r="B19" s="12">
        <f>30</f>
        <v/>
      </c>
      <c r="C19" t="n">
        <v>1060</v>
      </c>
      <c r="D19">
        <f>C19*$E$10</f>
        <v/>
      </c>
      <c r="E19">
        <f>D19/58400</f>
        <v/>
      </c>
      <c r="F19" s="11">
        <f>E19/$G$10</f>
        <v/>
      </c>
    </row>
    <row r="20">
      <c r="A20" s="12" t="inlineStr">
        <is>
          <t>Min</t>
        </is>
      </c>
      <c r="B20" s="12">
        <f>30</f>
        <v/>
      </c>
      <c r="C20" t="n">
        <v>490</v>
      </c>
      <c r="D20">
        <f>C20*$E$10</f>
        <v/>
      </c>
      <c r="E20">
        <f>D20/58400</f>
        <v/>
      </c>
      <c r="F20" s="11">
        <f>E20/$G$10</f>
        <v/>
      </c>
    </row>
    <row r="21">
      <c r="A21" s="12" t="inlineStr">
        <is>
          <t>Max</t>
        </is>
      </c>
      <c r="B21" s="12">
        <f>35</f>
        <v/>
      </c>
      <c r="C21">
        <f>1350</f>
        <v/>
      </c>
      <c r="D21">
        <f>C21*$E$10</f>
        <v/>
      </c>
      <c r="E21">
        <f>D21/58400</f>
        <v/>
      </c>
      <c r="F21" s="11">
        <f>E21/$G$10</f>
        <v/>
      </c>
    </row>
    <row r="22">
      <c r="A22" s="12" t="inlineStr">
        <is>
          <t>Min</t>
        </is>
      </c>
      <c r="B22" s="12" t="n">
        <v>35</v>
      </c>
      <c r="C22" t="n">
        <v>750</v>
      </c>
      <c r="D22">
        <f>C22*$E$10</f>
        <v/>
      </c>
      <c r="E22">
        <f>D22/58400</f>
        <v/>
      </c>
      <c r="F22" s="11">
        <f>E22/$G$10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Digitized from Campos-Villarreal et al. 2017 Figures 1 (Na+) and 2 (Cl-) with data/literature_data/salt_accumulation_analysis/digitize_campos_villarreal.py</t>
        </is>
      </c>
    </row>
    <row r="3">
      <c r="A3" t="inlineStr">
        <is>
          <t>cultivar</t>
        </is>
      </c>
      <c r="B3" t="inlineStr">
        <is>
          <t>salinity_dS_m</t>
        </is>
      </c>
      <c r="C3" t="inlineStr">
        <is>
          <t>compartment</t>
        </is>
      </c>
      <c r="D3" t="inlineStr">
        <is>
          <t>ion</t>
        </is>
      </c>
      <c r="E3" t="inlineStr">
        <is>
          <t>value</t>
        </is>
      </c>
      <c r="F3" t="inlineStr">
        <is>
          <t>se</t>
        </is>
      </c>
      <c r="G3" t="inlineStr">
        <is>
          <t>units</t>
        </is>
      </c>
      <c r="H3" t="inlineStr">
        <is>
          <t>error_type</t>
        </is>
      </c>
      <c r="I3" t="inlineStr">
        <is>
          <t>figure</t>
        </is>
      </c>
      <c r="J3" t="inlineStr">
        <is>
          <t>panel</t>
        </is>
      </c>
      <c r="K3" t="inlineStr">
        <is>
          <t>page</t>
        </is>
      </c>
      <c r="L3" t="inlineStr">
        <is>
          <t>method</t>
        </is>
      </c>
    </row>
    <row r="4">
      <c r="A4" t="inlineStr">
        <is>
          <t>Riverside</t>
        </is>
      </c>
      <c r="B4" t="n">
        <v>0.08</v>
      </c>
      <c r="C4" t="inlineStr">
        <is>
          <t>leaf</t>
        </is>
      </c>
      <c r="D4" t="inlineStr">
        <is>
          <t>Na+</t>
        </is>
      </c>
      <c r="E4" t="n">
        <v>298.09</v>
      </c>
      <c r="F4" t="n">
        <v>97.7</v>
      </c>
      <c r="G4" t="inlineStr">
        <is>
          <t>mg/kg dry weight</t>
        </is>
      </c>
      <c r="H4" t="inlineStr">
        <is>
          <t>SE (n=240 obs)</t>
        </is>
      </c>
      <c r="I4" t="n">
        <v>1</v>
      </c>
      <c r="J4" t="inlineStr">
        <is>
          <t>a</t>
        </is>
      </c>
      <c r="K4" t="n">
        <v>5</v>
      </c>
      <c r="L4" t="inlineStr">
        <is>
          <t>raster pixel extraction</t>
        </is>
      </c>
    </row>
    <row r="5">
      <c r="A5" t="inlineStr">
        <is>
          <t>SVA1</t>
        </is>
      </c>
      <c r="B5" t="n">
        <v>0.08</v>
      </c>
      <c r="C5" t="inlineStr">
        <is>
          <t>leaf</t>
        </is>
      </c>
      <c r="D5" t="inlineStr">
        <is>
          <t>Na+</t>
        </is>
      </c>
      <c r="E5" t="n">
        <v>254.02</v>
      </c>
      <c r="F5" t="n">
        <v>95.79000000000001</v>
      </c>
      <c r="G5" t="inlineStr">
        <is>
          <t>mg/kg dry weight</t>
        </is>
      </c>
      <c r="H5" t="inlineStr">
        <is>
          <t>SE (n=240 obs)</t>
        </is>
      </c>
      <c r="I5" t="n">
        <v>1</v>
      </c>
      <c r="J5" t="inlineStr">
        <is>
          <t>a</t>
        </is>
      </c>
      <c r="K5" t="n">
        <v>5</v>
      </c>
      <c r="L5" t="inlineStr">
        <is>
          <t>raster pixel extraction</t>
        </is>
      </c>
    </row>
    <row r="6">
      <c r="A6" t="inlineStr">
        <is>
          <t>Apache</t>
        </is>
      </c>
      <c r="B6" t="n">
        <v>0.08</v>
      </c>
      <c r="C6" t="inlineStr">
        <is>
          <t>leaf</t>
        </is>
      </c>
      <c r="D6" t="inlineStr">
        <is>
          <t>Na+</t>
        </is>
      </c>
      <c r="E6" t="n">
        <v>163.99</v>
      </c>
      <c r="F6" t="n">
        <v>90.04000000000001</v>
      </c>
      <c r="G6" t="inlineStr">
        <is>
          <t>mg/kg dry weight</t>
        </is>
      </c>
      <c r="H6" t="inlineStr">
        <is>
          <t>SE (n=240 obs)</t>
        </is>
      </c>
      <c r="I6" t="n">
        <v>1</v>
      </c>
      <c r="J6" t="inlineStr">
        <is>
          <t>a</t>
        </is>
      </c>
      <c r="K6" t="n">
        <v>5</v>
      </c>
      <c r="L6" t="inlineStr">
        <is>
          <t>raster pixel extraction</t>
        </is>
      </c>
    </row>
    <row r="7">
      <c r="A7" t="inlineStr">
        <is>
          <t>SVA2</t>
        </is>
      </c>
      <c r="B7" t="n">
        <v>0.08</v>
      </c>
      <c r="C7" t="inlineStr">
        <is>
          <t>leaf</t>
        </is>
      </c>
      <c r="D7" t="inlineStr">
        <is>
          <t>Na+</t>
        </is>
      </c>
      <c r="E7" t="n">
        <v>319.16</v>
      </c>
      <c r="F7" t="n">
        <v>91.95</v>
      </c>
      <c r="G7" t="inlineStr">
        <is>
          <t>mg/kg dry weight</t>
        </is>
      </c>
      <c r="H7" t="inlineStr">
        <is>
          <t>SE (n=240 obs)</t>
        </is>
      </c>
      <c r="I7" t="n">
        <v>1</v>
      </c>
      <c r="J7" t="inlineStr">
        <is>
          <t>a</t>
        </is>
      </c>
      <c r="K7" t="n">
        <v>5</v>
      </c>
      <c r="L7" t="inlineStr">
        <is>
          <t>raster pixel extraction</t>
        </is>
      </c>
    </row>
    <row r="8">
      <c r="A8" t="inlineStr">
        <is>
          <t>Riverside</t>
        </is>
      </c>
      <c r="B8" t="n">
        <v>2.5</v>
      </c>
      <c r="C8" t="inlineStr">
        <is>
          <t>leaf</t>
        </is>
      </c>
      <c r="D8" t="inlineStr">
        <is>
          <t>Na+</t>
        </is>
      </c>
      <c r="E8" t="n">
        <v>639.08</v>
      </c>
      <c r="F8" t="n">
        <v>95.79000000000001</v>
      </c>
      <c r="G8" t="inlineStr">
        <is>
          <t>mg/kg dry weight</t>
        </is>
      </c>
      <c r="H8" t="inlineStr">
        <is>
          <t>SE (n=240 obs)</t>
        </is>
      </c>
      <c r="I8" t="n">
        <v>1</v>
      </c>
      <c r="J8" t="inlineStr">
        <is>
          <t>a</t>
        </is>
      </c>
      <c r="K8" t="n">
        <v>5</v>
      </c>
      <c r="L8" t="inlineStr">
        <is>
          <t>raster pixel extraction</t>
        </is>
      </c>
    </row>
    <row r="9">
      <c r="A9" t="inlineStr">
        <is>
          <t>SVA1</t>
        </is>
      </c>
      <c r="B9" t="n">
        <v>2.5</v>
      </c>
      <c r="C9" t="inlineStr">
        <is>
          <t>leaf</t>
        </is>
      </c>
      <c r="D9" t="inlineStr">
        <is>
          <t>Na+</t>
        </is>
      </c>
      <c r="E9" t="n">
        <v>947.51</v>
      </c>
      <c r="F9" t="n">
        <v>95.79000000000001</v>
      </c>
      <c r="G9" t="inlineStr">
        <is>
          <t>mg/kg dry weight</t>
        </is>
      </c>
      <c r="H9" t="inlineStr">
        <is>
          <t>SE (n=240 obs)</t>
        </is>
      </c>
      <c r="I9" t="n">
        <v>1</v>
      </c>
      <c r="J9" t="inlineStr">
        <is>
          <t>a</t>
        </is>
      </c>
      <c r="K9" t="n">
        <v>5</v>
      </c>
      <c r="L9" t="inlineStr">
        <is>
          <t>raster pixel extraction</t>
        </is>
      </c>
    </row>
    <row r="10">
      <c r="A10" t="inlineStr">
        <is>
          <t>Apache</t>
        </is>
      </c>
      <c r="B10" t="n">
        <v>2.5</v>
      </c>
      <c r="C10" t="inlineStr">
        <is>
          <t>leaf</t>
        </is>
      </c>
      <c r="D10" t="inlineStr">
        <is>
          <t>Na+</t>
        </is>
      </c>
      <c r="E10" t="n">
        <v>317.24</v>
      </c>
      <c r="F10" t="n">
        <v>90.04000000000001</v>
      </c>
      <c r="G10" t="inlineStr">
        <is>
          <t>mg/kg dry weight</t>
        </is>
      </c>
      <c r="H10" t="inlineStr">
        <is>
          <t>SE (n=240 obs)</t>
        </is>
      </c>
      <c r="I10" t="n">
        <v>1</v>
      </c>
      <c r="J10" t="inlineStr">
        <is>
          <t>a</t>
        </is>
      </c>
      <c r="K10" t="n">
        <v>5</v>
      </c>
      <c r="L10" t="inlineStr">
        <is>
          <t>raster pixel extraction</t>
        </is>
      </c>
    </row>
    <row r="11">
      <c r="A11" t="inlineStr">
        <is>
          <t>SVA2</t>
        </is>
      </c>
      <c r="B11" t="n">
        <v>2.5</v>
      </c>
      <c r="C11" t="inlineStr">
        <is>
          <t>leaf</t>
        </is>
      </c>
      <c r="D11" t="inlineStr">
        <is>
          <t>Na+</t>
        </is>
      </c>
      <c r="E11" t="n">
        <v>725.29</v>
      </c>
      <c r="F11" t="n">
        <v>95.79000000000001</v>
      </c>
      <c r="G11" t="inlineStr">
        <is>
          <t>mg/kg dry weight</t>
        </is>
      </c>
      <c r="H11" t="inlineStr">
        <is>
          <t>SE (n=240 obs)</t>
        </is>
      </c>
      <c r="I11" t="n">
        <v>1</v>
      </c>
      <c r="J11" t="inlineStr">
        <is>
          <t>a</t>
        </is>
      </c>
      <c r="K11" t="n">
        <v>5</v>
      </c>
      <c r="L11" t="inlineStr">
        <is>
          <t>raster pixel extraction</t>
        </is>
      </c>
    </row>
    <row r="12">
      <c r="A12" t="inlineStr">
        <is>
          <t>Riverside</t>
        </is>
      </c>
      <c r="B12" t="n">
        <v>3</v>
      </c>
      <c r="C12" t="inlineStr">
        <is>
          <t>leaf</t>
        </is>
      </c>
      <c r="D12" t="inlineStr">
        <is>
          <t>Na+</t>
        </is>
      </c>
      <c r="E12" t="n">
        <v>987.74</v>
      </c>
      <c r="F12" t="n">
        <v>95.79000000000001</v>
      </c>
      <c r="G12" t="inlineStr">
        <is>
          <t>mg/kg dry weight</t>
        </is>
      </c>
      <c r="H12" t="inlineStr">
        <is>
          <t>SE (n=240 obs)</t>
        </is>
      </c>
      <c r="I12" t="n">
        <v>1</v>
      </c>
      <c r="J12" t="inlineStr">
        <is>
          <t>a</t>
        </is>
      </c>
      <c r="K12" t="n">
        <v>5</v>
      </c>
      <c r="L12" t="inlineStr">
        <is>
          <t>raster pixel extraction</t>
        </is>
      </c>
    </row>
    <row r="13">
      <c r="A13" t="inlineStr">
        <is>
          <t>SVA1</t>
        </is>
      </c>
      <c r="B13" t="n">
        <v>3</v>
      </c>
      <c r="C13" t="inlineStr">
        <is>
          <t>leaf</t>
        </is>
      </c>
      <c r="D13" t="inlineStr">
        <is>
          <t>Na+</t>
        </is>
      </c>
      <c r="E13" t="n">
        <v>951.34</v>
      </c>
      <c r="F13" t="n">
        <v>93.87</v>
      </c>
      <c r="G13" t="inlineStr">
        <is>
          <t>mg/kg dry weight</t>
        </is>
      </c>
      <c r="H13" t="inlineStr">
        <is>
          <t>SE (n=240 obs)</t>
        </is>
      </c>
      <c r="I13" t="n">
        <v>1</v>
      </c>
      <c r="J13" t="inlineStr">
        <is>
          <t>a</t>
        </is>
      </c>
      <c r="K13" t="n">
        <v>5</v>
      </c>
      <c r="L13" t="inlineStr">
        <is>
          <t>raster pixel extraction</t>
        </is>
      </c>
    </row>
    <row r="14">
      <c r="A14" t="inlineStr">
        <is>
          <t>Apache</t>
        </is>
      </c>
      <c r="B14" t="n">
        <v>3</v>
      </c>
      <c r="C14" t="inlineStr">
        <is>
          <t>leaf</t>
        </is>
      </c>
      <c r="D14" t="inlineStr">
        <is>
          <t>Na+</t>
        </is>
      </c>
      <c r="E14" t="n">
        <v>443.68</v>
      </c>
      <c r="F14" t="n">
        <v>91.95</v>
      </c>
      <c r="G14" t="inlineStr">
        <is>
          <t>mg/kg dry weight</t>
        </is>
      </c>
      <c r="H14" t="inlineStr">
        <is>
          <t>SE (n=240 obs)</t>
        </is>
      </c>
      <c r="I14" t="n">
        <v>1</v>
      </c>
      <c r="J14" t="inlineStr">
        <is>
          <t>a</t>
        </is>
      </c>
      <c r="K14" t="n">
        <v>5</v>
      </c>
      <c r="L14" t="inlineStr">
        <is>
          <t>raster pixel extraction</t>
        </is>
      </c>
    </row>
    <row r="15">
      <c r="A15" t="inlineStr">
        <is>
          <t>SVA2</t>
        </is>
      </c>
      <c r="B15" t="n">
        <v>3</v>
      </c>
      <c r="C15" t="inlineStr">
        <is>
          <t>leaf</t>
        </is>
      </c>
      <c r="D15" t="inlineStr">
        <is>
          <t>Na+</t>
        </is>
      </c>
      <c r="E15" t="n">
        <v>483.91</v>
      </c>
      <c r="F15" t="n">
        <v>95.79000000000001</v>
      </c>
      <c r="G15" t="inlineStr">
        <is>
          <t>mg/kg dry weight</t>
        </is>
      </c>
      <c r="H15" t="inlineStr">
        <is>
          <t>SE (n=240 obs)</t>
        </is>
      </c>
      <c r="I15" t="n">
        <v>1</v>
      </c>
      <c r="J15" t="inlineStr">
        <is>
          <t>a</t>
        </is>
      </c>
      <c r="K15" t="n">
        <v>5</v>
      </c>
      <c r="L15" t="inlineStr">
        <is>
          <t>raster pixel extraction</t>
        </is>
      </c>
    </row>
    <row r="16">
      <c r="A16" t="inlineStr">
        <is>
          <t>Riverside</t>
        </is>
      </c>
      <c r="B16" t="n">
        <v>3.5</v>
      </c>
      <c r="C16" t="inlineStr">
        <is>
          <t>leaf</t>
        </is>
      </c>
      <c r="D16" t="inlineStr">
        <is>
          <t>Na+</t>
        </is>
      </c>
      <c r="E16" t="n">
        <v>1259.77</v>
      </c>
      <c r="F16" t="n">
        <v>93.87</v>
      </c>
      <c r="G16" t="inlineStr">
        <is>
          <t>mg/kg dry weight</t>
        </is>
      </c>
      <c r="H16" t="inlineStr">
        <is>
          <t>SE (n=240 obs)</t>
        </is>
      </c>
      <c r="I16" t="n">
        <v>1</v>
      </c>
      <c r="J16" t="inlineStr">
        <is>
          <t>a</t>
        </is>
      </c>
      <c r="K16" t="n">
        <v>5</v>
      </c>
      <c r="L16" t="inlineStr">
        <is>
          <t>raster pixel extraction</t>
        </is>
      </c>
    </row>
    <row r="17">
      <c r="A17" t="inlineStr">
        <is>
          <t>SVA1</t>
        </is>
      </c>
      <c r="B17" t="n">
        <v>3.5</v>
      </c>
      <c r="C17" t="inlineStr">
        <is>
          <t>leaf</t>
        </is>
      </c>
      <c r="D17" t="inlineStr">
        <is>
          <t>Na+</t>
        </is>
      </c>
      <c r="E17" t="n">
        <v>981.99</v>
      </c>
      <c r="F17" t="n">
        <v>95.79000000000001</v>
      </c>
      <c r="G17" t="inlineStr">
        <is>
          <t>mg/kg dry weight</t>
        </is>
      </c>
      <c r="H17" t="inlineStr">
        <is>
          <t>SE (n=240 obs)</t>
        </is>
      </c>
      <c r="I17" t="n">
        <v>1</v>
      </c>
      <c r="J17" t="inlineStr">
        <is>
          <t>a</t>
        </is>
      </c>
      <c r="K17" t="n">
        <v>5</v>
      </c>
      <c r="L17" t="inlineStr">
        <is>
          <t>raster pixel extraction</t>
        </is>
      </c>
    </row>
    <row r="18">
      <c r="A18" t="inlineStr">
        <is>
          <t>Apache</t>
        </is>
      </c>
      <c r="B18" t="n">
        <v>3.5</v>
      </c>
      <c r="C18" t="inlineStr">
        <is>
          <t>leaf</t>
        </is>
      </c>
      <c r="D18" t="inlineStr">
        <is>
          <t>Na+</t>
        </is>
      </c>
      <c r="E18" t="n">
        <v>665.9</v>
      </c>
      <c r="F18" t="n">
        <v>90.04000000000001</v>
      </c>
      <c r="G18" t="inlineStr">
        <is>
          <t>mg/kg dry weight</t>
        </is>
      </c>
      <c r="H18" t="inlineStr">
        <is>
          <t>SE (n=240 obs)</t>
        </is>
      </c>
      <c r="I18" t="n">
        <v>1</v>
      </c>
      <c r="J18" t="inlineStr">
        <is>
          <t>a</t>
        </is>
      </c>
      <c r="K18" t="n">
        <v>5</v>
      </c>
      <c r="L18" t="inlineStr">
        <is>
          <t>raster pixel extraction</t>
        </is>
      </c>
    </row>
    <row r="19">
      <c r="A19" t="inlineStr">
        <is>
          <t>SVA2</t>
        </is>
      </c>
      <c r="B19" t="n">
        <v>3.5</v>
      </c>
      <c r="C19" t="inlineStr">
        <is>
          <t>leaf</t>
        </is>
      </c>
      <c r="D19" t="inlineStr">
        <is>
          <t>Na+</t>
        </is>
      </c>
      <c r="E19" t="n">
        <v>717.62</v>
      </c>
      <c r="F19" t="n">
        <v>95.79000000000001</v>
      </c>
      <c r="G19" t="inlineStr">
        <is>
          <t>mg/kg dry weight</t>
        </is>
      </c>
      <c r="H19" t="inlineStr">
        <is>
          <t>SE (n=240 obs)</t>
        </is>
      </c>
      <c r="I19" t="n">
        <v>1</v>
      </c>
      <c r="J19" t="inlineStr">
        <is>
          <t>a</t>
        </is>
      </c>
      <c r="K19" t="n">
        <v>5</v>
      </c>
      <c r="L19" t="inlineStr">
        <is>
          <t>raster pixel extraction</t>
        </is>
      </c>
    </row>
    <row r="20">
      <c r="A20" t="inlineStr">
        <is>
          <t>Riverside</t>
        </is>
      </c>
      <c r="B20" t="n">
        <v>0.08</v>
      </c>
      <c r="C20" t="inlineStr">
        <is>
          <t>stem</t>
        </is>
      </c>
      <c r="D20" t="inlineStr">
        <is>
          <t>Na+</t>
        </is>
      </c>
      <c r="E20" t="n">
        <v>259.21</v>
      </c>
      <c r="F20" t="n">
        <v>93.93000000000001</v>
      </c>
      <c r="G20" t="inlineStr">
        <is>
          <t>mg/kg dry weight</t>
        </is>
      </c>
      <c r="H20" t="inlineStr">
        <is>
          <t>SE (n=240 obs)</t>
        </is>
      </c>
      <c r="I20" t="n">
        <v>1</v>
      </c>
      <c r="J20" t="inlineStr">
        <is>
          <t>b</t>
        </is>
      </c>
      <c r="K20" t="n">
        <v>5</v>
      </c>
      <c r="L20" t="inlineStr">
        <is>
          <t>raster pixel extraction</t>
        </is>
      </c>
    </row>
    <row r="21">
      <c r="A21" t="inlineStr">
        <is>
          <t>SVA1</t>
        </is>
      </c>
      <c r="B21" t="n">
        <v>0.08</v>
      </c>
      <c r="C21" t="inlineStr">
        <is>
          <t>stem</t>
        </is>
      </c>
      <c r="D21" t="inlineStr">
        <is>
          <t>Na+</t>
        </is>
      </c>
      <c r="E21" t="n">
        <v>414.48</v>
      </c>
      <c r="F21" t="n">
        <v>84.34</v>
      </c>
      <c r="G21" t="inlineStr">
        <is>
          <t>mg/kg dry weight</t>
        </is>
      </c>
      <c r="H21" t="inlineStr">
        <is>
          <t>SE (n=240 obs)</t>
        </is>
      </c>
      <c r="I21" t="n">
        <v>1</v>
      </c>
      <c r="J21" t="inlineStr">
        <is>
          <t>b</t>
        </is>
      </c>
      <c r="K21" t="n">
        <v>5</v>
      </c>
      <c r="L21" t="inlineStr">
        <is>
          <t>raster pixel extraction</t>
        </is>
      </c>
    </row>
    <row r="22">
      <c r="A22" t="inlineStr">
        <is>
          <t>Apache</t>
        </is>
      </c>
      <c r="B22" t="n">
        <v>0.08</v>
      </c>
      <c r="C22" t="inlineStr">
        <is>
          <t>stem</t>
        </is>
      </c>
      <c r="D22" t="inlineStr">
        <is>
          <t>Na+</t>
        </is>
      </c>
      <c r="E22" t="n">
        <v>397.23</v>
      </c>
      <c r="F22" t="n">
        <v>84.34</v>
      </c>
      <c r="G22" t="inlineStr">
        <is>
          <t>mg/kg dry weight</t>
        </is>
      </c>
      <c r="H22" t="inlineStr">
        <is>
          <t>SE (n=240 obs)</t>
        </is>
      </c>
      <c r="I22" t="n">
        <v>1</v>
      </c>
      <c r="J22" t="inlineStr">
        <is>
          <t>b</t>
        </is>
      </c>
      <c r="K22" t="n">
        <v>5</v>
      </c>
      <c r="L22" t="inlineStr">
        <is>
          <t>raster pixel extraction</t>
        </is>
      </c>
    </row>
    <row r="23">
      <c r="A23" t="inlineStr">
        <is>
          <t>SVA2</t>
        </is>
      </c>
      <c r="B23" t="n">
        <v>0.08</v>
      </c>
      <c r="C23" t="inlineStr">
        <is>
          <t>stem</t>
        </is>
      </c>
      <c r="D23" t="inlineStr">
        <is>
          <t>Na+</t>
        </is>
      </c>
      <c r="E23" t="n">
        <v>422.15</v>
      </c>
      <c r="F23" t="n">
        <v>84.34</v>
      </c>
      <c r="G23" t="inlineStr">
        <is>
          <t>mg/kg dry weight</t>
        </is>
      </c>
      <c r="H23" t="inlineStr">
        <is>
          <t>SE (n=240 obs)</t>
        </is>
      </c>
      <c r="I23" t="n">
        <v>1</v>
      </c>
      <c r="J23" t="inlineStr">
        <is>
          <t>b</t>
        </is>
      </c>
      <c r="K23" t="n">
        <v>5</v>
      </c>
      <c r="L23" t="inlineStr">
        <is>
          <t>raster pixel extraction</t>
        </is>
      </c>
    </row>
    <row r="24">
      <c r="A24" t="inlineStr">
        <is>
          <t>Riverside</t>
        </is>
      </c>
      <c r="B24" t="n">
        <v>2.5</v>
      </c>
      <c r="C24" t="inlineStr">
        <is>
          <t>stem</t>
        </is>
      </c>
      <c r="D24" t="inlineStr">
        <is>
          <t>Na+</t>
        </is>
      </c>
      <c r="E24" t="n">
        <v>596.59</v>
      </c>
      <c r="F24" t="n">
        <v>93.93000000000001</v>
      </c>
      <c r="G24" t="inlineStr">
        <is>
          <t>mg/kg dry weight</t>
        </is>
      </c>
      <c r="H24" t="inlineStr">
        <is>
          <t>SE (n=240 obs)</t>
        </is>
      </c>
      <c r="I24" t="n">
        <v>1</v>
      </c>
      <c r="J24" t="inlineStr">
        <is>
          <t>b</t>
        </is>
      </c>
      <c r="K24" t="n">
        <v>5</v>
      </c>
      <c r="L24" t="inlineStr">
        <is>
          <t>raster pixel extraction</t>
        </is>
      </c>
    </row>
    <row r="25">
      <c r="A25" t="inlineStr">
        <is>
          <t>SVA1</t>
        </is>
      </c>
      <c r="B25" t="n">
        <v>2.5</v>
      </c>
      <c r="C25" t="inlineStr">
        <is>
          <t>stem</t>
        </is>
      </c>
      <c r="D25" t="inlineStr">
        <is>
          <t>Na+</t>
        </is>
      </c>
      <c r="E25" t="n">
        <v>709.6900000000001</v>
      </c>
      <c r="F25" t="n">
        <v>86.26000000000001</v>
      </c>
      <c r="G25" t="inlineStr">
        <is>
          <t>mg/kg dry weight</t>
        </is>
      </c>
      <c r="H25" t="inlineStr">
        <is>
          <t>SE (n=240 obs)</t>
        </is>
      </c>
      <c r="I25" t="n">
        <v>1</v>
      </c>
      <c r="J25" t="inlineStr">
        <is>
          <t>b</t>
        </is>
      </c>
      <c r="K25" t="n">
        <v>5</v>
      </c>
      <c r="L25" t="inlineStr">
        <is>
          <t>raster pixel extraction</t>
        </is>
      </c>
    </row>
    <row r="26">
      <c r="A26" t="inlineStr">
        <is>
          <t>Apache</t>
        </is>
      </c>
      <c r="B26" t="n">
        <v>2.5</v>
      </c>
      <c r="C26" t="inlineStr">
        <is>
          <t>stem</t>
        </is>
      </c>
      <c r="D26" t="inlineStr">
        <is>
          <t>Na+</t>
        </is>
      </c>
      <c r="E26" t="n">
        <v>654.1</v>
      </c>
      <c r="F26" t="n">
        <v>82.43000000000001</v>
      </c>
      <c r="G26" t="inlineStr">
        <is>
          <t>mg/kg dry weight</t>
        </is>
      </c>
      <c r="H26" t="inlineStr">
        <is>
          <t>SE (n=240 obs)</t>
        </is>
      </c>
      <c r="I26" t="n">
        <v>1</v>
      </c>
      <c r="J26" t="inlineStr">
        <is>
          <t>b</t>
        </is>
      </c>
      <c r="K26" t="n">
        <v>5</v>
      </c>
      <c r="L26" t="inlineStr">
        <is>
          <t>raster pixel extraction</t>
        </is>
      </c>
    </row>
    <row r="27">
      <c r="A27" t="inlineStr">
        <is>
          <t>SVA2</t>
        </is>
      </c>
      <c r="B27" t="n">
        <v>2.5</v>
      </c>
      <c r="C27" t="inlineStr">
        <is>
          <t>stem</t>
        </is>
      </c>
      <c r="D27" t="inlineStr">
        <is>
          <t>Na+</t>
        </is>
      </c>
      <c r="E27" t="n">
        <v>748.03</v>
      </c>
      <c r="F27" t="n">
        <v>86.26000000000001</v>
      </c>
      <c r="G27" t="inlineStr">
        <is>
          <t>mg/kg dry weight</t>
        </is>
      </c>
      <c r="H27" t="inlineStr">
        <is>
          <t>SE (n=240 obs)</t>
        </is>
      </c>
      <c r="I27" t="n">
        <v>1</v>
      </c>
      <c r="J27" t="inlineStr">
        <is>
          <t>b</t>
        </is>
      </c>
      <c r="K27" t="n">
        <v>5</v>
      </c>
      <c r="L27" t="inlineStr">
        <is>
          <t>raster pixel extraction</t>
        </is>
      </c>
    </row>
    <row r="28">
      <c r="A28" t="inlineStr">
        <is>
          <t>Riverside</t>
        </is>
      </c>
      <c r="B28" t="n">
        <v>3</v>
      </c>
      <c r="C28" t="inlineStr">
        <is>
          <t>stem</t>
        </is>
      </c>
      <c r="D28" t="inlineStr">
        <is>
          <t>Na+</t>
        </is>
      </c>
      <c r="E28" t="n">
        <v>987.65</v>
      </c>
      <c r="F28" t="n">
        <v>90.09999999999999</v>
      </c>
      <c r="G28" t="inlineStr">
        <is>
          <t>mg/kg dry weight</t>
        </is>
      </c>
      <c r="H28" t="inlineStr">
        <is>
          <t>SE (n=240 obs)</t>
        </is>
      </c>
      <c r="I28" t="n">
        <v>1</v>
      </c>
      <c r="J28" t="inlineStr">
        <is>
          <t>b</t>
        </is>
      </c>
      <c r="K28" t="n">
        <v>5</v>
      </c>
      <c r="L28" t="inlineStr">
        <is>
          <t>raster pixel extraction</t>
        </is>
      </c>
    </row>
    <row r="29">
      <c r="A29" t="inlineStr">
        <is>
          <t>SVA1</t>
        </is>
      </c>
      <c r="B29" t="n">
        <v>3</v>
      </c>
      <c r="C29" t="inlineStr">
        <is>
          <t>stem</t>
        </is>
      </c>
      <c r="D29" t="inlineStr">
        <is>
          <t>Na+</t>
        </is>
      </c>
      <c r="E29" t="n">
        <v>878.38</v>
      </c>
      <c r="F29" t="n">
        <v>86.26000000000001</v>
      </c>
      <c r="G29" t="inlineStr">
        <is>
          <t>mg/kg dry weight</t>
        </is>
      </c>
      <c r="H29" t="inlineStr">
        <is>
          <t>SE (n=240 obs)</t>
        </is>
      </c>
      <c r="I29" t="n">
        <v>1</v>
      </c>
      <c r="J29" t="inlineStr">
        <is>
          <t>b</t>
        </is>
      </c>
      <c r="K29" t="n">
        <v>5</v>
      </c>
      <c r="L29" t="inlineStr">
        <is>
          <t>raster pixel extraction</t>
        </is>
      </c>
    </row>
    <row r="30">
      <c r="A30" t="inlineStr">
        <is>
          <t>Apache</t>
        </is>
      </c>
      <c r="B30" t="n">
        <v>3</v>
      </c>
      <c r="C30" t="inlineStr">
        <is>
          <t>stem</t>
        </is>
      </c>
      <c r="D30" t="inlineStr">
        <is>
          <t>Na+</t>
        </is>
      </c>
      <c r="E30" t="n">
        <v>715.4400000000001</v>
      </c>
      <c r="F30" t="n">
        <v>82.43000000000001</v>
      </c>
      <c r="G30" t="inlineStr">
        <is>
          <t>mg/kg dry weight</t>
        </is>
      </c>
      <c r="H30" t="inlineStr">
        <is>
          <t>SE (n=240 obs)</t>
        </is>
      </c>
      <c r="I30" t="n">
        <v>1</v>
      </c>
      <c r="J30" t="inlineStr">
        <is>
          <t>b</t>
        </is>
      </c>
      <c r="K30" t="n">
        <v>5</v>
      </c>
      <c r="L30" t="inlineStr">
        <is>
          <t>raster pixel extraction</t>
        </is>
      </c>
    </row>
    <row r="31">
      <c r="A31" t="inlineStr">
        <is>
          <t>SVA2</t>
        </is>
      </c>
      <c r="B31" t="n">
        <v>3</v>
      </c>
      <c r="C31" t="inlineStr">
        <is>
          <t>stem</t>
        </is>
      </c>
      <c r="D31" t="inlineStr">
        <is>
          <t>Na+</t>
        </is>
      </c>
      <c r="E31" t="n">
        <v>713.53</v>
      </c>
      <c r="F31" t="n">
        <v>84.34</v>
      </c>
      <c r="G31" t="inlineStr">
        <is>
          <t>mg/kg dry weight</t>
        </is>
      </c>
      <c r="H31" t="inlineStr">
        <is>
          <t>SE (n=240 obs)</t>
        </is>
      </c>
      <c r="I31" t="n">
        <v>1</v>
      </c>
      <c r="J31" t="inlineStr">
        <is>
          <t>b</t>
        </is>
      </c>
      <c r="K31" t="n">
        <v>5</v>
      </c>
      <c r="L31" t="inlineStr">
        <is>
          <t>raster pixel extraction</t>
        </is>
      </c>
    </row>
    <row r="32">
      <c r="A32" t="inlineStr">
        <is>
          <t>Riverside</t>
        </is>
      </c>
      <c r="B32" t="n">
        <v>3.5</v>
      </c>
      <c r="C32" t="inlineStr">
        <is>
          <t>stem</t>
        </is>
      </c>
      <c r="D32" t="inlineStr">
        <is>
          <t>Na+</t>
        </is>
      </c>
      <c r="E32" t="n">
        <v>1359.53</v>
      </c>
      <c r="F32" t="n">
        <v>92.01000000000001</v>
      </c>
      <c r="G32" t="inlineStr">
        <is>
          <t>mg/kg dry weight</t>
        </is>
      </c>
      <c r="H32" t="inlineStr">
        <is>
          <t>SE (n=240 obs)</t>
        </is>
      </c>
      <c r="I32" t="n">
        <v>1</v>
      </c>
      <c r="J32" t="inlineStr">
        <is>
          <t>b</t>
        </is>
      </c>
      <c r="K32" t="n">
        <v>5</v>
      </c>
      <c r="L32" t="inlineStr">
        <is>
          <t>raster pixel extraction</t>
        </is>
      </c>
    </row>
    <row r="33">
      <c r="A33" t="inlineStr">
        <is>
          <t>SVA1</t>
        </is>
      </c>
      <c r="B33" t="n">
        <v>3.5</v>
      </c>
      <c r="C33" t="inlineStr">
        <is>
          <t>stem</t>
        </is>
      </c>
      <c r="D33" t="inlineStr">
        <is>
          <t>Na+</t>
        </is>
      </c>
      <c r="E33" t="n">
        <v>882.21</v>
      </c>
      <c r="F33" t="n">
        <v>84.34</v>
      </c>
      <c r="G33" t="inlineStr">
        <is>
          <t>mg/kg dry weight</t>
        </is>
      </c>
      <c r="H33" t="inlineStr">
        <is>
          <t>SE (n=240 obs)</t>
        </is>
      </c>
      <c r="I33" t="n">
        <v>1</v>
      </c>
      <c r="J33" t="inlineStr">
        <is>
          <t>b</t>
        </is>
      </c>
      <c r="K33" t="n">
        <v>5</v>
      </c>
      <c r="L33" t="inlineStr">
        <is>
          <t>raster pixel extraction</t>
        </is>
      </c>
    </row>
    <row r="34">
      <c r="A34" t="inlineStr">
        <is>
          <t>Apache</t>
        </is>
      </c>
      <c r="B34" t="n">
        <v>3.5</v>
      </c>
      <c r="C34" t="inlineStr">
        <is>
          <t>stem</t>
        </is>
      </c>
      <c r="D34" t="inlineStr">
        <is>
          <t>Na+</t>
        </is>
      </c>
      <c r="E34" t="n">
        <v>907.13</v>
      </c>
      <c r="F34" t="n">
        <v>84.34</v>
      </c>
      <c r="G34" t="inlineStr">
        <is>
          <t>mg/kg dry weight</t>
        </is>
      </c>
      <c r="H34" t="inlineStr">
        <is>
          <t>SE (n=240 obs)</t>
        </is>
      </c>
      <c r="I34" t="n">
        <v>1</v>
      </c>
      <c r="J34" t="inlineStr">
        <is>
          <t>b</t>
        </is>
      </c>
      <c r="K34" t="n">
        <v>5</v>
      </c>
      <c r="L34" t="inlineStr">
        <is>
          <t>raster pixel extraction</t>
        </is>
      </c>
    </row>
    <row r="35">
      <c r="A35" t="inlineStr">
        <is>
          <t>SVA2</t>
        </is>
      </c>
      <c r="B35" t="n">
        <v>3.5</v>
      </c>
      <c r="C35" t="inlineStr">
        <is>
          <t>stem</t>
        </is>
      </c>
      <c r="D35" t="inlineStr">
        <is>
          <t>Na+</t>
        </is>
      </c>
      <c r="E35" t="n">
        <v>836.21</v>
      </c>
      <c r="F35" t="n">
        <v>82.43000000000001</v>
      </c>
      <c r="G35" t="inlineStr">
        <is>
          <t>mg/kg dry weight</t>
        </is>
      </c>
      <c r="H35" t="inlineStr">
        <is>
          <t>SE (n=240 obs)</t>
        </is>
      </c>
      <c r="I35" t="n">
        <v>1</v>
      </c>
      <c r="J35" t="inlineStr">
        <is>
          <t>b</t>
        </is>
      </c>
      <c r="K35" t="n">
        <v>5</v>
      </c>
      <c r="L35" t="inlineStr">
        <is>
          <t>raster pixel extraction</t>
        </is>
      </c>
    </row>
    <row r="36">
      <c r="A36" t="inlineStr">
        <is>
          <t>Riverside</t>
        </is>
      </c>
      <c r="B36" t="n">
        <v>0.08</v>
      </c>
      <c r="C36" t="inlineStr">
        <is>
          <t>root</t>
        </is>
      </c>
      <c r="D36" t="inlineStr">
        <is>
          <t>Na+</t>
        </is>
      </c>
      <c r="E36" t="n">
        <v>309.48</v>
      </c>
      <c r="F36" t="n">
        <v>70.69</v>
      </c>
      <c r="G36" t="inlineStr">
        <is>
          <t>mg/kg dry weight</t>
        </is>
      </c>
      <c r="H36" t="inlineStr">
        <is>
          <t>SE (n=240 obs)</t>
        </is>
      </c>
      <c r="I36" t="n">
        <v>1</v>
      </c>
      <c r="J36" t="inlineStr">
        <is>
          <t>c</t>
        </is>
      </c>
      <c r="K36" t="n">
        <v>5</v>
      </c>
      <c r="L36" t="inlineStr">
        <is>
          <t>raster pixel extraction</t>
        </is>
      </c>
    </row>
    <row r="37">
      <c r="A37" t="inlineStr">
        <is>
          <t>SVA1</t>
        </is>
      </c>
      <c r="B37" t="n">
        <v>0.08</v>
      </c>
      <c r="C37" t="inlineStr">
        <is>
          <t>root</t>
        </is>
      </c>
      <c r="D37" t="inlineStr">
        <is>
          <t>Na+</t>
        </is>
      </c>
      <c r="E37" t="n">
        <v>377.78</v>
      </c>
      <c r="F37" t="n">
        <v>64.7</v>
      </c>
      <c r="G37" t="inlineStr">
        <is>
          <t>mg/kg dry weight</t>
        </is>
      </c>
      <c r="H37" t="inlineStr">
        <is>
          <t>SE (n=240 obs)</t>
        </is>
      </c>
      <c r="I37" t="n">
        <v>1</v>
      </c>
      <c r="J37" t="inlineStr">
        <is>
          <t>c</t>
        </is>
      </c>
      <c r="K37" t="n">
        <v>5</v>
      </c>
      <c r="L37" t="inlineStr">
        <is>
          <t>raster pixel extraction</t>
        </is>
      </c>
    </row>
    <row r="38">
      <c r="A38" t="inlineStr">
        <is>
          <t>Apache</t>
        </is>
      </c>
      <c r="B38" t="n">
        <v>0.08</v>
      </c>
      <c r="C38" t="inlineStr">
        <is>
          <t>root</t>
        </is>
      </c>
      <c r="D38" t="inlineStr">
        <is>
          <t>Na+</t>
        </is>
      </c>
      <c r="E38" t="n">
        <v>338.24</v>
      </c>
      <c r="F38" t="n">
        <v>65.90000000000001</v>
      </c>
      <c r="G38" t="inlineStr">
        <is>
          <t>mg/kg dry weight</t>
        </is>
      </c>
      <c r="H38" t="inlineStr">
        <is>
          <t>SE (n=240 obs)</t>
        </is>
      </c>
      <c r="I38" t="n">
        <v>1</v>
      </c>
      <c r="J38" t="inlineStr">
        <is>
          <t>c</t>
        </is>
      </c>
      <c r="K38" t="n">
        <v>5</v>
      </c>
      <c r="L38" t="inlineStr">
        <is>
          <t>raster pixel extraction</t>
        </is>
      </c>
    </row>
    <row r="39">
      <c r="A39" t="inlineStr">
        <is>
          <t>SVA2</t>
        </is>
      </c>
      <c r="B39" t="n">
        <v>0.08</v>
      </c>
      <c r="C39" t="inlineStr">
        <is>
          <t>root</t>
        </is>
      </c>
      <c r="D39" t="inlineStr">
        <is>
          <t>Na+</t>
        </is>
      </c>
      <c r="E39" t="n">
        <v>454.47</v>
      </c>
      <c r="F39" t="n">
        <v>68.3</v>
      </c>
      <c r="G39" t="inlineStr">
        <is>
          <t>mg/kg dry weight</t>
        </is>
      </c>
      <c r="H39" t="inlineStr">
        <is>
          <t>SE (n=240 obs)</t>
        </is>
      </c>
      <c r="I39" t="n">
        <v>1</v>
      </c>
      <c r="J39" t="inlineStr">
        <is>
          <t>c</t>
        </is>
      </c>
      <c r="K39" t="n">
        <v>5</v>
      </c>
      <c r="L39" t="inlineStr">
        <is>
          <t>raster pixel extraction</t>
        </is>
      </c>
    </row>
    <row r="40">
      <c r="A40" t="inlineStr">
        <is>
          <t>Riverside</t>
        </is>
      </c>
      <c r="B40" t="n">
        <v>2.5</v>
      </c>
      <c r="C40" t="inlineStr">
        <is>
          <t>root</t>
        </is>
      </c>
      <c r="D40" t="inlineStr">
        <is>
          <t>Na+</t>
        </is>
      </c>
      <c r="E40" t="n">
        <v>652.17</v>
      </c>
      <c r="F40" t="n">
        <v>70.69</v>
      </c>
      <c r="G40" t="inlineStr">
        <is>
          <t>mg/kg dry weight</t>
        </is>
      </c>
      <c r="H40" t="inlineStr">
        <is>
          <t>SE (n=240 obs)</t>
        </is>
      </c>
      <c r="I40" t="n">
        <v>1</v>
      </c>
      <c r="J40" t="inlineStr">
        <is>
          <t>c</t>
        </is>
      </c>
      <c r="K40" t="n">
        <v>5</v>
      </c>
      <c r="L40" t="inlineStr">
        <is>
          <t>raster pixel extraction</t>
        </is>
      </c>
    </row>
    <row r="41">
      <c r="A41" t="inlineStr">
        <is>
          <t>SVA1</t>
        </is>
      </c>
      <c r="B41" t="n">
        <v>2.5</v>
      </c>
      <c r="C41" t="inlineStr">
        <is>
          <t>root</t>
        </is>
      </c>
      <c r="D41" t="inlineStr">
        <is>
          <t>Na+</t>
        </is>
      </c>
      <c r="E41" t="n">
        <v>595.86</v>
      </c>
      <c r="F41" t="n">
        <v>67.09999999999999</v>
      </c>
      <c r="G41" t="inlineStr">
        <is>
          <t>mg/kg dry weight</t>
        </is>
      </c>
      <c r="H41" t="inlineStr">
        <is>
          <t>SE (n=240 obs)</t>
        </is>
      </c>
      <c r="I41" t="n">
        <v>1</v>
      </c>
      <c r="J41" t="inlineStr">
        <is>
          <t>c</t>
        </is>
      </c>
      <c r="K41" t="n">
        <v>5</v>
      </c>
      <c r="L41" t="inlineStr">
        <is>
          <t>raster pixel extraction</t>
        </is>
      </c>
    </row>
    <row r="42">
      <c r="A42" t="inlineStr">
        <is>
          <t>Apache</t>
        </is>
      </c>
      <c r="B42" t="n">
        <v>2.5</v>
      </c>
      <c r="C42" t="inlineStr">
        <is>
          <t>root</t>
        </is>
      </c>
      <c r="D42" t="inlineStr">
        <is>
          <t>Na+</t>
        </is>
      </c>
      <c r="E42" t="n">
        <v>455.67</v>
      </c>
      <c r="F42" t="n">
        <v>67.09999999999999</v>
      </c>
      <c r="G42" t="inlineStr">
        <is>
          <t>mg/kg dry weight</t>
        </is>
      </c>
      <c r="H42" t="inlineStr">
        <is>
          <t>SE (n=240 obs)</t>
        </is>
      </c>
      <c r="I42" t="n">
        <v>1</v>
      </c>
      <c r="J42" t="inlineStr">
        <is>
          <t>c</t>
        </is>
      </c>
      <c r="K42" t="n">
        <v>5</v>
      </c>
      <c r="L42" t="inlineStr">
        <is>
          <t>raster pixel extraction</t>
        </is>
      </c>
    </row>
    <row r="43">
      <c r="A43" t="inlineStr">
        <is>
          <t>SVA2</t>
        </is>
      </c>
      <c r="B43" t="n">
        <v>2.5</v>
      </c>
      <c r="C43" t="inlineStr">
        <is>
          <t>root</t>
        </is>
      </c>
      <c r="D43" t="inlineStr">
        <is>
          <t>Na+</t>
        </is>
      </c>
      <c r="E43" t="n">
        <v>837.9</v>
      </c>
      <c r="F43" t="n">
        <v>65.90000000000001</v>
      </c>
      <c r="G43" t="inlineStr">
        <is>
          <t>mg/kg dry weight</t>
        </is>
      </c>
      <c r="H43" t="inlineStr">
        <is>
          <t>SE (n=240 obs)</t>
        </is>
      </c>
      <c r="I43" t="n">
        <v>1</v>
      </c>
      <c r="J43" t="inlineStr">
        <is>
          <t>c</t>
        </is>
      </c>
      <c r="K43" t="n">
        <v>5</v>
      </c>
      <c r="L43" t="inlineStr">
        <is>
          <t>raster pixel extraction</t>
        </is>
      </c>
    </row>
    <row r="44">
      <c r="A44" t="inlineStr">
        <is>
          <t>Riverside</t>
        </is>
      </c>
      <c r="B44" t="n">
        <v>3</v>
      </c>
      <c r="C44" t="inlineStr">
        <is>
          <t>root</t>
        </is>
      </c>
      <c r="D44" t="inlineStr">
        <is>
          <t>Na+</t>
        </is>
      </c>
      <c r="E44" t="n">
        <v>839.1</v>
      </c>
      <c r="F44" t="n">
        <v>71.89</v>
      </c>
      <c r="G44" t="inlineStr">
        <is>
          <t>mg/kg dry weight</t>
        </is>
      </c>
      <c r="H44" t="inlineStr">
        <is>
          <t>SE (n=240 obs)</t>
        </is>
      </c>
      <c r="I44" t="n">
        <v>1</v>
      </c>
      <c r="J44" t="inlineStr">
        <is>
          <t>c</t>
        </is>
      </c>
      <c r="K44" t="n">
        <v>5</v>
      </c>
      <c r="L44" t="inlineStr">
        <is>
          <t>raster pixel extraction</t>
        </is>
      </c>
    </row>
    <row r="45">
      <c r="A45" t="inlineStr">
        <is>
          <t>SVA1</t>
        </is>
      </c>
      <c r="B45" t="n">
        <v>3</v>
      </c>
      <c r="C45" t="inlineStr">
        <is>
          <t>root</t>
        </is>
      </c>
      <c r="D45" t="inlineStr">
        <is>
          <t>Na+</t>
        </is>
      </c>
      <c r="E45" t="n">
        <v>677.34</v>
      </c>
      <c r="F45" t="n">
        <v>64.7</v>
      </c>
      <c r="G45" t="inlineStr">
        <is>
          <t>mg/kg dry weight</t>
        </is>
      </c>
      <c r="H45" t="inlineStr">
        <is>
          <t>SE (n=240 obs)</t>
        </is>
      </c>
      <c r="I45" t="n">
        <v>1</v>
      </c>
      <c r="J45" t="inlineStr">
        <is>
          <t>c</t>
        </is>
      </c>
      <c r="K45" t="n">
        <v>5</v>
      </c>
      <c r="L45" t="inlineStr">
        <is>
          <t>raster pixel extraction</t>
        </is>
      </c>
    </row>
    <row r="46">
      <c r="A46" t="inlineStr">
        <is>
          <t>Apache</t>
        </is>
      </c>
      <c r="B46" t="n">
        <v>3</v>
      </c>
      <c r="C46" t="inlineStr">
        <is>
          <t>root</t>
        </is>
      </c>
      <c r="D46" t="inlineStr">
        <is>
          <t>Na+</t>
        </is>
      </c>
      <c r="E46" t="n">
        <v>707.29</v>
      </c>
      <c r="F46" t="n">
        <v>65.90000000000001</v>
      </c>
      <c r="G46" t="inlineStr">
        <is>
          <t>mg/kg dry weight</t>
        </is>
      </c>
      <c r="H46" t="inlineStr">
        <is>
          <t>SE (n=240 obs)</t>
        </is>
      </c>
      <c r="I46" t="n">
        <v>1</v>
      </c>
      <c r="J46" t="inlineStr">
        <is>
          <t>c</t>
        </is>
      </c>
      <c r="K46" t="n">
        <v>5</v>
      </c>
      <c r="L46" t="inlineStr">
        <is>
          <t>raster pixel extraction</t>
        </is>
      </c>
    </row>
    <row r="47">
      <c r="A47" t="inlineStr">
        <is>
          <t>SVA2</t>
        </is>
      </c>
      <c r="B47" t="n">
        <v>3</v>
      </c>
      <c r="C47" t="inlineStr">
        <is>
          <t>root</t>
        </is>
      </c>
      <c r="D47" t="inlineStr">
        <is>
          <t>Na+</t>
        </is>
      </c>
      <c r="E47" t="n">
        <v>837.9</v>
      </c>
      <c r="F47" t="n">
        <v>68.3</v>
      </c>
      <c r="G47" t="inlineStr">
        <is>
          <t>mg/kg dry weight</t>
        </is>
      </c>
      <c r="H47" t="inlineStr">
        <is>
          <t>SE (n=240 obs)</t>
        </is>
      </c>
      <c r="I47" t="n">
        <v>1</v>
      </c>
      <c r="J47" t="inlineStr">
        <is>
          <t>c</t>
        </is>
      </c>
      <c r="K47" t="n">
        <v>5</v>
      </c>
      <c r="L47" t="inlineStr">
        <is>
          <t>raster pixel extraction</t>
        </is>
      </c>
    </row>
    <row r="48">
      <c r="A48" t="inlineStr">
        <is>
          <t>Riverside</t>
        </is>
      </c>
      <c r="B48" t="n">
        <v>3.5</v>
      </c>
      <c r="C48" t="inlineStr">
        <is>
          <t>root</t>
        </is>
      </c>
      <c r="D48" t="inlineStr">
        <is>
          <t>Na+</t>
        </is>
      </c>
      <c r="E48" t="n">
        <v>815.13</v>
      </c>
      <c r="F48" t="n">
        <v>70.69</v>
      </c>
      <c r="G48" t="inlineStr">
        <is>
          <t>mg/kg dry weight</t>
        </is>
      </c>
      <c r="H48" t="inlineStr">
        <is>
          <t>SE (n=240 obs)</t>
        </is>
      </c>
      <c r="I48" t="n">
        <v>1</v>
      </c>
      <c r="J48" t="inlineStr">
        <is>
          <t>c</t>
        </is>
      </c>
      <c r="K48" t="n">
        <v>5</v>
      </c>
      <c r="L48" t="inlineStr">
        <is>
          <t>raster pixel extraction</t>
        </is>
      </c>
    </row>
    <row r="49">
      <c r="A49" t="inlineStr">
        <is>
          <t>SVA1</t>
        </is>
      </c>
      <c r="B49" t="n">
        <v>3.5</v>
      </c>
      <c r="C49" t="inlineStr">
        <is>
          <t>root</t>
        </is>
      </c>
      <c r="D49" t="inlineStr">
        <is>
          <t>Na+</t>
        </is>
      </c>
      <c r="E49" t="n">
        <v>619.8200000000001</v>
      </c>
      <c r="F49" t="n">
        <v>64.7</v>
      </c>
      <c r="G49" t="inlineStr">
        <is>
          <t>mg/kg dry weight</t>
        </is>
      </c>
      <c r="H49" t="inlineStr">
        <is>
          <t>SE (n=240 obs)</t>
        </is>
      </c>
      <c r="I49" t="n">
        <v>1</v>
      </c>
      <c r="J49" t="inlineStr">
        <is>
          <t>c</t>
        </is>
      </c>
      <c r="K49" t="n">
        <v>5</v>
      </c>
      <c r="L49" t="inlineStr">
        <is>
          <t>raster pixel extraction</t>
        </is>
      </c>
    </row>
    <row r="50">
      <c r="A50" t="inlineStr">
        <is>
          <t>Apache</t>
        </is>
      </c>
      <c r="B50" t="n">
        <v>3.5</v>
      </c>
      <c r="C50" t="inlineStr">
        <is>
          <t>root</t>
        </is>
      </c>
      <c r="D50" t="inlineStr">
        <is>
          <t>Na+</t>
        </is>
      </c>
      <c r="E50" t="n">
        <v>712.08</v>
      </c>
      <c r="F50" t="n">
        <v>67.09999999999999</v>
      </c>
      <c r="G50" t="inlineStr">
        <is>
          <t>mg/kg dry weight</t>
        </is>
      </c>
      <c r="H50" t="inlineStr">
        <is>
          <t>SE (n=240 obs)</t>
        </is>
      </c>
      <c r="I50" t="n">
        <v>1</v>
      </c>
      <c r="J50" t="inlineStr">
        <is>
          <t>c</t>
        </is>
      </c>
      <c r="K50" t="n">
        <v>5</v>
      </c>
      <c r="L50" t="inlineStr">
        <is>
          <t>raster pixel extraction</t>
        </is>
      </c>
    </row>
    <row r="51">
      <c r="A51" t="inlineStr">
        <is>
          <t>SVA2</t>
        </is>
      </c>
      <c r="B51" t="n">
        <v>3.5</v>
      </c>
      <c r="C51" t="inlineStr">
        <is>
          <t>root</t>
        </is>
      </c>
      <c r="D51" t="inlineStr">
        <is>
          <t>Na+</t>
        </is>
      </c>
      <c r="E51" t="n">
        <v>809.14</v>
      </c>
      <c r="F51" t="n">
        <v>64.7</v>
      </c>
      <c r="G51" t="inlineStr">
        <is>
          <t>mg/kg dry weight</t>
        </is>
      </c>
      <c r="H51" t="inlineStr">
        <is>
          <t>SE (n=240 obs)</t>
        </is>
      </c>
      <c r="I51" t="n">
        <v>1</v>
      </c>
      <c r="J51" t="inlineStr">
        <is>
          <t>c</t>
        </is>
      </c>
      <c r="K51" t="n">
        <v>5</v>
      </c>
      <c r="L51" t="inlineStr">
        <is>
          <t>raster pixel extraction</t>
        </is>
      </c>
    </row>
    <row r="52">
      <c r="A52" t="inlineStr">
        <is>
          <t>Riverside</t>
        </is>
      </c>
      <c r="B52" t="n">
        <v>0.08</v>
      </c>
      <c r="C52" t="inlineStr">
        <is>
          <t>leaf</t>
        </is>
      </c>
      <c r="D52" t="inlineStr">
        <is>
          <t>Cl-</t>
        </is>
      </c>
      <c r="E52" t="n">
        <v>22.57</v>
      </c>
      <c r="F52" t="n">
        <v>3.35</v>
      </c>
      <c r="G52" t="inlineStr">
        <is>
          <t>mg/kg dry weight</t>
        </is>
      </c>
      <c r="H52" t="inlineStr">
        <is>
          <t>SE (n=240 obs)</t>
        </is>
      </c>
      <c r="I52" t="n">
        <v>2</v>
      </c>
      <c r="J52" t="inlineStr">
        <is>
          <t>a</t>
        </is>
      </c>
      <c r="K52" t="n">
        <v>6</v>
      </c>
      <c r="L52" t="inlineStr">
        <is>
          <t>raster pixel extraction</t>
        </is>
      </c>
    </row>
    <row r="53">
      <c r="A53" t="inlineStr">
        <is>
          <t>SVA1</t>
        </is>
      </c>
      <c r="B53" t="n">
        <v>0.08</v>
      </c>
      <c r="C53" t="inlineStr">
        <is>
          <t>leaf</t>
        </is>
      </c>
      <c r="D53" t="inlineStr">
        <is>
          <t>Cl-</t>
        </is>
      </c>
      <c r="E53" t="n">
        <v>16.72</v>
      </c>
      <c r="F53" t="n">
        <v>2.87</v>
      </c>
      <c r="G53" t="inlineStr">
        <is>
          <t>mg/kg dry weight</t>
        </is>
      </c>
      <c r="H53" t="inlineStr">
        <is>
          <t>SE (n=240 obs)</t>
        </is>
      </c>
      <c r="I53" t="n">
        <v>2</v>
      </c>
      <c r="J53" t="inlineStr">
        <is>
          <t>a</t>
        </is>
      </c>
      <c r="K53" t="n">
        <v>6</v>
      </c>
      <c r="L53" t="inlineStr">
        <is>
          <t>raster pixel extraction</t>
        </is>
      </c>
    </row>
    <row r="54">
      <c r="A54" t="inlineStr">
        <is>
          <t>Apache</t>
        </is>
      </c>
      <c r="B54" t="n">
        <v>0.08</v>
      </c>
      <c r="C54" t="inlineStr">
        <is>
          <t>leaf</t>
        </is>
      </c>
      <c r="D54" t="inlineStr">
        <is>
          <t>Cl-</t>
        </is>
      </c>
      <c r="E54" t="n">
        <v>12.61</v>
      </c>
      <c r="F54" t="n">
        <v>2.78</v>
      </c>
      <c r="G54" t="inlineStr">
        <is>
          <t>mg/kg dry weight</t>
        </is>
      </c>
      <c r="H54" t="inlineStr">
        <is>
          <t>SE (n=240 obs)</t>
        </is>
      </c>
      <c r="I54" t="n">
        <v>2</v>
      </c>
      <c r="J54" t="inlineStr">
        <is>
          <t>a</t>
        </is>
      </c>
      <c r="K54" t="n">
        <v>6</v>
      </c>
      <c r="L54" t="inlineStr">
        <is>
          <t>raster pixel extraction</t>
        </is>
      </c>
    </row>
    <row r="55">
      <c r="A55" t="inlineStr">
        <is>
          <t>SVA2</t>
        </is>
      </c>
      <c r="B55" t="n">
        <v>0.08</v>
      </c>
      <c r="C55" t="inlineStr">
        <is>
          <t>leaf</t>
        </is>
      </c>
      <c r="D55" t="inlineStr">
        <is>
          <t>Cl-</t>
        </is>
      </c>
      <c r="E55" t="n">
        <v>15.96</v>
      </c>
      <c r="F55" t="n">
        <v>2.87</v>
      </c>
      <c r="G55" t="inlineStr">
        <is>
          <t>mg/kg dry weight</t>
        </is>
      </c>
      <c r="H55" t="inlineStr">
        <is>
          <t>SE (n=240 obs)</t>
        </is>
      </c>
      <c r="I55" t="n">
        <v>2</v>
      </c>
      <c r="J55" t="inlineStr">
        <is>
          <t>a</t>
        </is>
      </c>
      <c r="K55" t="n">
        <v>6</v>
      </c>
      <c r="L55" t="inlineStr">
        <is>
          <t>raster pixel extraction</t>
        </is>
      </c>
    </row>
    <row r="56">
      <c r="A56" t="inlineStr">
        <is>
          <t>Riverside</t>
        </is>
      </c>
      <c r="B56" t="n">
        <v>2.5</v>
      </c>
      <c r="C56" t="inlineStr">
        <is>
          <t>leaf</t>
        </is>
      </c>
      <c r="D56" t="inlineStr">
        <is>
          <t>Cl-</t>
        </is>
      </c>
      <c r="E56" t="n">
        <v>34.06</v>
      </c>
      <c r="F56" t="n">
        <v>3.35</v>
      </c>
      <c r="G56" t="inlineStr">
        <is>
          <t>mg/kg dry weight</t>
        </is>
      </c>
      <c r="H56" t="inlineStr">
        <is>
          <t>SE (n=240 obs)</t>
        </is>
      </c>
      <c r="I56" t="n">
        <v>2</v>
      </c>
      <c r="J56" t="inlineStr">
        <is>
          <t>a</t>
        </is>
      </c>
      <c r="K56" t="n">
        <v>6</v>
      </c>
      <c r="L56" t="inlineStr">
        <is>
          <t>raster pixel extraction</t>
        </is>
      </c>
    </row>
    <row r="57">
      <c r="A57" t="inlineStr">
        <is>
          <t>SVA1</t>
        </is>
      </c>
      <c r="B57" t="n">
        <v>2.5</v>
      </c>
      <c r="C57" t="inlineStr">
        <is>
          <t>leaf</t>
        </is>
      </c>
      <c r="D57" t="inlineStr">
        <is>
          <t>Cl-</t>
        </is>
      </c>
      <c r="E57" t="n">
        <v>37.03</v>
      </c>
      <c r="F57" t="n">
        <v>2.87</v>
      </c>
      <c r="G57" t="inlineStr">
        <is>
          <t>mg/kg dry weight</t>
        </is>
      </c>
      <c r="H57" t="inlineStr">
        <is>
          <t>SE (n=240 obs)</t>
        </is>
      </c>
      <c r="I57" t="n">
        <v>2</v>
      </c>
      <c r="J57" t="inlineStr">
        <is>
          <t>a</t>
        </is>
      </c>
      <c r="K57" t="n">
        <v>6</v>
      </c>
      <c r="L57" t="inlineStr">
        <is>
          <t>raster pixel extraction</t>
        </is>
      </c>
    </row>
    <row r="58">
      <c r="A58" t="inlineStr">
        <is>
          <t>Apache</t>
        </is>
      </c>
      <c r="B58" t="n">
        <v>2.5</v>
      </c>
      <c r="C58" t="inlineStr">
        <is>
          <t>leaf</t>
        </is>
      </c>
      <c r="D58" t="inlineStr">
        <is>
          <t>Cl-</t>
        </is>
      </c>
      <c r="E58" t="n">
        <v>27.55</v>
      </c>
      <c r="F58" t="n">
        <v>2.78</v>
      </c>
      <c r="G58" t="inlineStr">
        <is>
          <t>mg/kg dry weight</t>
        </is>
      </c>
      <c r="H58" t="inlineStr">
        <is>
          <t>SE (n=240 obs)</t>
        </is>
      </c>
      <c r="I58" t="n">
        <v>2</v>
      </c>
      <c r="J58" t="inlineStr">
        <is>
          <t>a</t>
        </is>
      </c>
      <c r="K58" t="n">
        <v>6</v>
      </c>
      <c r="L58" t="inlineStr">
        <is>
          <t>raster pixel extraction</t>
        </is>
      </c>
    </row>
    <row r="59">
      <c r="A59" t="inlineStr">
        <is>
          <t>SVA2</t>
        </is>
      </c>
      <c r="B59" t="n">
        <v>2.5</v>
      </c>
      <c r="C59" t="inlineStr">
        <is>
          <t>leaf</t>
        </is>
      </c>
      <c r="D59" t="inlineStr">
        <is>
          <t>Cl-</t>
        </is>
      </c>
      <c r="E59" t="n">
        <v>34.73</v>
      </c>
      <c r="F59" t="n">
        <v>2.87</v>
      </c>
      <c r="G59" t="inlineStr">
        <is>
          <t>mg/kg dry weight</t>
        </is>
      </c>
      <c r="H59" t="inlineStr">
        <is>
          <t>SE (n=240 obs)</t>
        </is>
      </c>
      <c r="I59" t="n">
        <v>2</v>
      </c>
      <c r="J59" t="inlineStr">
        <is>
          <t>a</t>
        </is>
      </c>
      <c r="K59" t="n">
        <v>6</v>
      </c>
      <c r="L59" t="inlineStr">
        <is>
          <t>raster pixel extraction</t>
        </is>
      </c>
    </row>
    <row r="60">
      <c r="A60" t="inlineStr">
        <is>
          <t>Riverside</t>
        </is>
      </c>
      <c r="B60" t="n">
        <v>3</v>
      </c>
      <c r="C60" t="inlineStr">
        <is>
          <t>leaf</t>
        </is>
      </c>
      <c r="D60" t="inlineStr">
        <is>
          <t>Cl-</t>
        </is>
      </c>
      <c r="E60" t="n">
        <v>51.69</v>
      </c>
      <c r="F60" t="n">
        <v>3.54</v>
      </c>
      <c r="G60" t="inlineStr">
        <is>
          <t>mg/kg dry weight</t>
        </is>
      </c>
      <c r="H60" t="inlineStr">
        <is>
          <t>SE (n=240 obs)</t>
        </is>
      </c>
      <c r="I60" t="n">
        <v>2</v>
      </c>
      <c r="J60" t="inlineStr">
        <is>
          <t>a</t>
        </is>
      </c>
      <c r="K60" t="n">
        <v>6</v>
      </c>
      <c r="L60" t="inlineStr">
        <is>
          <t>raster pixel extraction</t>
        </is>
      </c>
    </row>
    <row r="61">
      <c r="A61" t="inlineStr">
        <is>
          <t>SVA1</t>
        </is>
      </c>
      <c r="B61" t="n">
        <v>3</v>
      </c>
      <c r="C61" t="inlineStr">
        <is>
          <t>leaf</t>
        </is>
      </c>
      <c r="D61" t="inlineStr">
        <is>
          <t>Cl-</t>
        </is>
      </c>
      <c r="E61" t="n">
        <v>62.13</v>
      </c>
      <c r="F61" t="n">
        <v>2.87</v>
      </c>
      <c r="G61" t="inlineStr">
        <is>
          <t>mg/kg dry weight</t>
        </is>
      </c>
      <c r="H61" t="inlineStr">
        <is>
          <t>SE (n=240 obs)</t>
        </is>
      </c>
      <c r="I61" t="n">
        <v>2</v>
      </c>
      <c r="J61" t="inlineStr">
        <is>
          <t>a</t>
        </is>
      </c>
      <c r="K61" t="n">
        <v>6</v>
      </c>
      <c r="L61" t="inlineStr">
        <is>
          <t>raster pixel extraction</t>
        </is>
      </c>
    </row>
    <row r="62">
      <c r="A62" t="inlineStr">
        <is>
          <t>Apache</t>
        </is>
      </c>
      <c r="B62" t="n">
        <v>3</v>
      </c>
      <c r="C62" t="inlineStr">
        <is>
          <t>leaf</t>
        </is>
      </c>
      <c r="D62" t="inlineStr">
        <is>
          <t>Cl-</t>
        </is>
      </c>
      <c r="E62" t="n">
        <v>33.1</v>
      </c>
      <c r="F62" t="n">
        <v>2.78</v>
      </c>
      <c r="G62" t="inlineStr">
        <is>
          <t>mg/kg dry weight</t>
        </is>
      </c>
      <c r="H62" t="inlineStr">
        <is>
          <t>SE (n=240 obs)</t>
        </is>
      </c>
      <c r="I62" t="n">
        <v>2</v>
      </c>
      <c r="J62" t="inlineStr">
        <is>
          <t>a</t>
        </is>
      </c>
      <c r="K62" t="n">
        <v>6</v>
      </c>
      <c r="L62" t="inlineStr">
        <is>
          <t>raster pixel extraction</t>
        </is>
      </c>
    </row>
    <row r="63">
      <c r="A63" t="inlineStr">
        <is>
          <t>SVA2</t>
        </is>
      </c>
      <c r="B63" t="n">
        <v>3</v>
      </c>
      <c r="C63" t="inlineStr">
        <is>
          <t>leaf</t>
        </is>
      </c>
      <c r="D63" t="inlineStr">
        <is>
          <t>Cl-</t>
        </is>
      </c>
      <c r="E63" t="n">
        <v>37.8</v>
      </c>
      <c r="F63" t="n">
        <v>2.87</v>
      </c>
      <c r="G63" t="inlineStr">
        <is>
          <t>mg/kg dry weight</t>
        </is>
      </c>
      <c r="H63" t="inlineStr">
        <is>
          <t>SE (n=240 obs)</t>
        </is>
      </c>
      <c r="I63" t="n">
        <v>2</v>
      </c>
      <c r="J63" t="inlineStr">
        <is>
          <t>a</t>
        </is>
      </c>
      <c r="K63" t="n">
        <v>6</v>
      </c>
      <c r="L63" t="inlineStr">
        <is>
          <t>raster pixel extraction</t>
        </is>
      </c>
    </row>
    <row r="64">
      <c r="A64" t="inlineStr">
        <is>
          <t>Riverside</t>
        </is>
      </c>
      <c r="B64" t="n">
        <v>3.5</v>
      </c>
      <c r="C64" t="inlineStr">
        <is>
          <t>leaf</t>
        </is>
      </c>
      <c r="D64" t="inlineStr">
        <is>
          <t>Cl-</t>
        </is>
      </c>
      <c r="E64" t="n">
        <v>58.97</v>
      </c>
      <c r="F64" t="n">
        <v>3.35</v>
      </c>
      <c r="G64" t="inlineStr">
        <is>
          <t>mg/kg dry weight</t>
        </is>
      </c>
      <c r="H64" t="inlineStr">
        <is>
          <t>SE (n=240 obs)</t>
        </is>
      </c>
      <c r="I64" t="n">
        <v>2</v>
      </c>
      <c r="J64" t="inlineStr">
        <is>
          <t>a</t>
        </is>
      </c>
      <c r="K64" t="n">
        <v>6</v>
      </c>
      <c r="L64" t="inlineStr">
        <is>
          <t>raster pixel extraction</t>
        </is>
      </c>
    </row>
    <row r="65">
      <c r="A65" t="inlineStr">
        <is>
          <t>SVA1</t>
        </is>
      </c>
      <c r="B65" t="n">
        <v>3.5</v>
      </c>
      <c r="C65" t="inlineStr">
        <is>
          <t>leaf</t>
        </is>
      </c>
      <c r="D65" t="inlineStr">
        <is>
          <t>Cl-</t>
        </is>
      </c>
      <c r="E65" t="n">
        <v>67.87</v>
      </c>
      <c r="F65" t="n">
        <v>2.87</v>
      </c>
      <c r="G65" t="inlineStr">
        <is>
          <t>mg/kg dry weight</t>
        </is>
      </c>
      <c r="H65" t="inlineStr">
        <is>
          <t>SE (n=240 obs)</t>
        </is>
      </c>
      <c r="I65" t="n">
        <v>2</v>
      </c>
      <c r="J65" t="inlineStr">
        <is>
          <t>a</t>
        </is>
      </c>
      <c r="K65" t="n">
        <v>6</v>
      </c>
      <c r="L65" t="inlineStr">
        <is>
          <t>raster pixel extraction</t>
        </is>
      </c>
    </row>
    <row r="66">
      <c r="A66" t="inlineStr">
        <is>
          <t>Apache</t>
        </is>
      </c>
      <c r="B66" t="n">
        <v>3.5</v>
      </c>
      <c r="C66" t="inlineStr">
        <is>
          <t>leaf</t>
        </is>
      </c>
      <c r="D66" t="inlineStr">
        <is>
          <t>Cl-</t>
        </is>
      </c>
      <c r="E66" t="n">
        <v>38.28</v>
      </c>
      <c r="F66" t="n">
        <v>2.87</v>
      </c>
      <c r="G66" t="inlineStr">
        <is>
          <t>mg/kg dry weight</t>
        </is>
      </c>
      <c r="H66" t="inlineStr">
        <is>
          <t>SE (n=240 obs)</t>
        </is>
      </c>
      <c r="I66" t="n">
        <v>2</v>
      </c>
      <c r="J66" t="inlineStr">
        <is>
          <t>a</t>
        </is>
      </c>
      <c r="K66" t="n">
        <v>6</v>
      </c>
      <c r="L66" t="inlineStr">
        <is>
          <t>raster pixel extraction</t>
        </is>
      </c>
    </row>
    <row r="67">
      <c r="A67" t="inlineStr">
        <is>
          <t>SVA2</t>
        </is>
      </c>
      <c r="B67" t="n">
        <v>3.5</v>
      </c>
      <c r="C67" t="inlineStr">
        <is>
          <t>leaf</t>
        </is>
      </c>
      <c r="D67" t="inlineStr">
        <is>
          <t>Cl-</t>
        </is>
      </c>
      <c r="E67" t="n">
        <v>38.75</v>
      </c>
      <c r="F67" t="n">
        <v>2.97</v>
      </c>
      <c r="G67" t="inlineStr">
        <is>
          <t>mg/kg dry weight</t>
        </is>
      </c>
      <c r="H67" t="inlineStr">
        <is>
          <t>SE (n=240 obs)</t>
        </is>
      </c>
      <c r="I67" t="n">
        <v>2</v>
      </c>
      <c r="J67" t="inlineStr">
        <is>
          <t>a</t>
        </is>
      </c>
      <c r="K67" t="n">
        <v>6</v>
      </c>
      <c r="L67" t="inlineStr">
        <is>
          <t>raster pixel extraction</t>
        </is>
      </c>
    </row>
    <row r="68">
      <c r="A68" t="inlineStr">
        <is>
          <t>Riverside</t>
        </is>
      </c>
      <c r="B68" t="n">
        <v>0.08</v>
      </c>
      <c r="C68" t="inlineStr">
        <is>
          <t>stem</t>
        </is>
      </c>
      <c r="D68" t="inlineStr">
        <is>
          <t>Cl-</t>
        </is>
      </c>
      <c r="E68" t="n">
        <v>21.8</v>
      </c>
      <c r="F68" t="n">
        <v>3.09</v>
      </c>
      <c r="G68" t="inlineStr">
        <is>
          <t>mg/kg dry weight</t>
        </is>
      </c>
      <c r="H68" t="inlineStr">
        <is>
          <t>SE (n=240 obs)</t>
        </is>
      </c>
      <c r="I68" t="n">
        <v>2</v>
      </c>
      <c r="J68" t="inlineStr">
        <is>
          <t>b</t>
        </is>
      </c>
      <c r="K68" t="n">
        <v>6</v>
      </c>
      <c r="L68" t="inlineStr">
        <is>
          <t>raster pixel extraction</t>
        </is>
      </c>
    </row>
    <row r="69">
      <c r="A69" t="inlineStr">
        <is>
          <t>SVA1</t>
        </is>
      </c>
      <c r="B69" t="n">
        <v>0.08</v>
      </c>
      <c r="C69" t="inlineStr">
        <is>
          <t>stem</t>
        </is>
      </c>
      <c r="D69" t="inlineStr">
        <is>
          <t>Cl-</t>
        </is>
      </c>
      <c r="E69" t="n">
        <v>14.39</v>
      </c>
      <c r="F69" t="n">
        <v>2.73</v>
      </c>
      <c r="G69" t="inlineStr">
        <is>
          <t>mg/kg dry weight</t>
        </is>
      </c>
      <c r="H69" t="inlineStr">
        <is>
          <t>SE (n=240 obs)</t>
        </is>
      </c>
      <c r="I69" t="n">
        <v>2</v>
      </c>
      <c r="J69" t="inlineStr">
        <is>
          <t>b</t>
        </is>
      </c>
      <c r="K69" t="n">
        <v>6</v>
      </c>
      <c r="L69" t="inlineStr">
        <is>
          <t>raster pixel extraction</t>
        </is>
      </c>
    </row>
    <row r="70">
      <c r="A70" t="inlineStr">
        <is>
          <t>Apache</t>
        </is>
      </c>
      <c r="B70" t="n">
        <v>0.08</v>
      </c>
      <c r="C70" t="inlineStr">
        <is>
          <t>stem</t>
        </is>
      </c>
      <c r="D70" t="inlineStr">
        <is>
          <t>Cl-</t>
        </is>
      </c>
      <c r="E70" t="n">
        <v>22.66</v>
      </c>
      <c r="F70" t="n">
        <v>2.59</v>
      </c>
      <c r="G70" t="inlineStr">
        <is>
          <t>mg/kg dry weight</t>
        </is>
      </c>
      <c r="H70" t="inlineStr">
        <is>
          <t>SE (n=240 obs)</t>
        </is>
      </c>
      <c r="I70" t="n">
        <v>2</v>
      </c>
      <c r="J70" t="inlineStr">
        <is>
          <t>b</t>
        </is>
      </c>
      <c r="K70" t="n">
        <v>6</v>
      </c>
      <c r="L70" t="inlineStr">
        <is>
          <t>raster pixel extraction</t>
        </is>
      </c>
    </row>
    <row r="71">
      <c r="A71" t="inlineStr">
        <is>
          <t>SVA2</t>
        </is>
      </c>
      <c r="B71" t="n">
        <v>0.08</v>
      </c>
      <c r="C71" t="inlineStr">
        <is>
          <t>stem</t>
        </is>
      </c>
      <c r="D71" t="inlineStr">
        <is>
          <t>Cl-</t>
        </is>
      </c>
      <c r="E71" t="n">
        <v>16.12</v>
      </c>
      <c r="F71" t="n">
        <v>2.59</v>
      </c>
      <c r="G71" t="inlineStr">
        <is>
          <t>mg/kg dry weight</t>
        </is>
      </c>
      <c r="H71" t="inlineStr">
        <is>
          <t>SE (n=240 obs)</t>
        </is>
      </c>
      <c r="I71" t="n">
        <v>2</v>
      </c>
      <c r="J71" t="inlineStr">
        <is>
          <t>b</t>
        </is>
      </c>
      <c r="K71" t="n">
        <v>6</v>
      </c>
      <c r="L71" t="inlineStr">
        <is>
          <t>raster pixel extraction</t>
        </is>
      </c>
    </row>
    <row r="72">
      <c r="A72" t="inlineStr">
        <is>
          <t>Riverside</t>
        </is>
      </c>
      <c r="B72" t="n">
        <v>2.5</v>
      </c>
      <c r="C72" t="inlineStr">
        <is>
          <t>stem</t>
        </is>
      </c>
      <c r="D72" t="inlineStr">
        <is>
          <t>Cl-</t>
        </is>
      </c>
      <c r="E72" t="n">
        <v>27.26</v>
      </c>
      <c r="F72" t="n">
        <v>3.09</v>
      </c>
      <c r="G72" t="inlineStr">
        <is>
          <t>mg/kg dry weight</t>
        </is>
      </c>
      <c r="H72" t="inlineStr">
        <is>
          <t>SE (n=240 obs)</t>
        </is>
      </c>
      <c r="I72" t="n">
        <v>2</v>
      </c>
      <c r="J72" t="inlineStr">
        <is>
          <t>b</t>
        </is>
      </c>
      <c r="K72" t="n">
        <v>6</v>
      </c>
      <c r="L72" t="inlineStr">
        <is>
          <t>raster pixel extraction</t>
        </is>
      </c>
    </row>
    <row r="73">
      <c r="A73" t="inlineStr">
        <is>
          <t>SVA1</t>
        </is>
      </c>
      <c r="B73" t="n">
        <v>2.5</v>
      </c>
      <c r="C73" t="inlineStr">
        <is>
          <t>stem</t>
        </is>
      </c>
      <c r="D73" t="inlineStr">
        <is>
          <t>Cl-</t>
        </is>
      </c>
      <c r="E73" t="n">
        <v>29.2</v>
      </c>
      <c r="F73" t="n">
        <v>2.59</v>
      </c>
      <c r="G73" t="inlineStr">
        <is>
          <t>mg/kg dry weight</t>
        </is>
      </c>
      <c r="H73" t="inlineStr">
        <is>
          <t>SE (n=240 obs)</t>
        </is>
      </c>
      <c r="I73" t="n">
        <v>2</v>
      </c>
      <c r="J73" t="inlineStr">
        <is>
          <t>b</t>
        </is>
      </c>
      <c r="K73" t="n">
        <v>6</v>
      </c>
      <c r="L73" t="inlineStr">
        <is>
          <t>raster pixel extraction</t>
        </is>
      </c>
    </row>
    <row r="74">
      <c r="A74" t="inlineStr">
        <is>
          <t>Apache</t>
        </is>
      </c>
      <c r="B74" t="n">
        <v>2.5</v>
      </c>
      <c r="C74" t="inlineStr">
        <is>
          <t>stem</t>
        </is>
      </c>
      <c r="D74" t="inlineStr">
        <is>
          <t>Cl-</t>
        </is>
      </c>
      <c r="E74" t="n">
        <v>23.67</v>
      </c>
      <c r="F74" t="n">
        <v>2.52</v>
      </c>
      <c r="G74" t="inlineStr">
        <is>
          <t>mg/kg dry weight</t>
        </is>
      </c>
      <c r="H74" t="inlineStr">
        <is>
          <t>SE (n=240 obs)</t>
        </is>
      </c>
      <c r="I74" t="n">
        <v>2</v>
      </c>
      <c r="J74" t="inlineStr">
        <is>
          <t>b</t>
        </is>
      </c>
      <c r="K74" t="n">
        <v>6</v>
      </c>
      <c r="L74" t="inlineStr">
        <is>
          <t>raster pixel extraction</t>
        </is>
      </c>
    </row>
    <row r="75">
      <c r="A75" t="inlineStr">
        <is>
          <t>SVA2</t>
        </is>
      </c>
      <c r="B75" t="n">
        <v>2.5</v>
      </c>
      <c r="C75" t="inlineStr">
        <is>
          <t>stem</t>
        </is>
      </c>
      <c r="D75" t="inlineStr">
        <is>
          <t>Cl-</t>
        </is>
      </c>
      <c r="E75" t="n">
        <v>20.14</v>
      </c>
      <c r="F75" t="n">
        <v>2.66</v>
      </c>
      <c r="G75" t="inlineStr">
        <is>
          <t>mg/kg dry weight</t>
        </is>
      </c>
      <c r="H75" t="inlineStr">
        <is>
          <t>SE (n=240 obs)</t>
        </is>
      </c>
      <c r="I75" t="n">
        <v>2</v>
      </c>
      <c r="J75" t="inlineStr">
        <is>
          <t>b</t>
        </is>
      </c>
      <c r="K75" t="n">
        <v>6</v>
      </c>
      <c r="L75" t="inlineStr">
        <is>
          <t>raster pixel extraction</t>
        </is>
      </c>
    </row>
    <row r="76">
      <c r="A76" t="inlineStr">
        <is>
          <t>Riverside</t>
        </is>
      </c>
      <c r="B76" t="n">
        <v>3</v>
      </c>
      <c r="C76" t="inlineStr">
        <is>
          <t>stem</t>
        </is>
      </c>
      <c r="D76" t="inlineStr">
        <is>
          <t>Cl-</t>
        </is>
      </c>
      <c r="E76" t="n">
        <v>38.61</v>
      </c>
      <c r="F76" t="n">
        <v>2.95</v>
      </c>
      <c r="G76" t="inlineStr">
        <is>
          <t>mg/kg dry weight</t>
        </is>
      </c>
      <c r="H76" t="inlineStr">
        <is>
          <t>SE (n=240 obs)</t>
        </is>
      </c>
      <c r="I76" t="n">
        <v>2</v>
      </c>
      <c r="J76" t="inlineStr">
        <is>
          <t>b</t>
        </is>
      </c>
      <c r="K76" t="n">
        <v>6</v>
      </c>
      <c r="L76" t="inlineStr">
        <is>
          <t>raster pixel extraction</t>
        </is>
      </c>
    </row>
    <row r="77">
      <c r="A77" t="inlineStr">
        <is>
          <t>SVA1</t>
        </is>
      </c>
      <c r="B77" t="n">
        <v>3</v>
      </c>
      <c r="C77" t="inlineStr">
        <is>
          <t>stem</t>
        </is>
      </c>
      <c r="D77" t="inlineStr">
        <is>
          <t>Cl-</t>
        </is>
      </c>
      <c r="E77" t="n">
        <v>36.24</v>
      </c>
      <c r="F77" t="n">
        <v>2.66</v>
      </c>
      <c r="G77" t="inlineStr">
        <is>
          <t>mg/kg dry weight</t>
        </is>
      </c>
      <c r="H77" t="inlineStr">
        <is>
          <t>SE (n=240 obs)</t>
        </is>
      </c>
      <c r="I77" t="n">
        <v>2</v>
      </c>
      <c r="J77" t="inlineStr">
        <is>
          <t>b</t>
        </is>
      </c>
      <c r="K77" t="n">
        <v>6</v>
      </c>
      <c r="L77" t="inlineStr">
        <is>
          <t>raster pixel extraction</t>
        </is>
      </c>
    </row>
    <row r="78">
      <c r="A78" t="inlineStr">
        <is>
          <t>Apache</t>
        </is>
      </c>
      <c r="B78" t="n">
        <v>3</v>
      </c>
      <c r="C78" t="inlineStr">
        <is>
          <t>stem</t>
        </is>
      </c>
      <c r="D78" t="inlineStr">
        <is>
          <t>Cl-</t>
        </is>
      </c>
      <c r="E78" t="n">
        <v>26.68</v>
      </c>
      <c r="F78" t="n">
        <v>2.52</v>
      </c>
      <c r="G78" t="inlineStr">
        <is>
          <t>mg/kg dry weight</t>
        </is>
      </c>
      <c r="H78" t="inlineStr">
        <is>
          <t>SE (n=240 obs)</t>
        </is>
      </c>
      <c r="I78" t="n">
        <v>2</v>
      </c>
      <c r="J78" t="inlineStr">
        <is>
          <t>b</t>
        </is>
      </c>
      <c r="K78" t="n">
        <v>6</v>
      </c>
      <c r="L78" t="inlineStr">
        <is>
          <t>raster pixel extraction</t>
        </is>
      </c>
    </row>
    <row r="79">
      <c r="A79" t="inlineStr">
        <is>
          <t>SVA2</t>
        </is>
      </c>
      <c r="B79" t="n">
        <v>3</v>
      </c>
      <c r="C79" t="inlineStr">
        <is>
          <t>stem</t>
        </is>
      </c>
      <c r="D79" t="inlineStr">
        <is>
          <t>Cl-</t>
        </is>
      </c>
      <c r="E79" t="n">
        <v>25.89</v>
      </c>
      <c r="F79" t="n">
        <v>2.66</v>
      </c>
      <c r="G79" t="inlineStr">
        <is>
          <t>mg/kg dry weight</t>
        </is>
      </c>
      <c r="H79" t="inlineStr">
        <is>
          <t>SE (n=240 obs)</t>
        </is>
      </c>
      <c r="I79" t="n">
        <v>2</v>
      </c>
      <c r="J79" t="inlineStr">
        <is>
          <t>b</t>
        </is>
      </c>
      <c r="K79" t="n">
        <v>6</v>
      </c>
      <c r="L79" t="inlineStr">
        <is>
          <t>raster pixel extraction</t>
        </is>
      </c>
    </row>
    <row r="80">
      <c r="A80" t="inlineStr">
        <is>
          <t>Riverside</t>
        </is>
      </c>
      <c r="B80" t="n">
        <v>3.5</v>
      </c>
      <c r="C80" t="inlineStr">
        <is>
          <t>stem</t>
        </is>
      </c>
      <c r="D80" t="inlineStr">
        <is>
          <t>Cl-</t>
        </is>
      </c>
      <c r="E80" t="n">
        <v>41.2</v>
      </c>
      <c r="F80" t="n">
        <v>2.87</v>
      </c>
      <c r="G80" t="inlineStr">
        <is>
          <t>mg/kg dry weight</t>
        </is>
      </c>
      <c r="H80" t="inlineStr">
        <is>
          <t>SE (n=240 obs)</t>
        </is>
      </c>
      <c r="I80" t="n">
        <v>2</v>
      </c>
      <c r="J80" t="inlineStr">
        <is>
          <t>b</t>
        </is>
      </c>
      <c r="K80" t="n">
        <v>6</v>
      </c>
      <c r="L80" t="inlineStr">
        <is>
          <t>raster pixel extraction</t>
        </is>
      </c>
    </row>
    <row r="81">
      <c r="A81" t="inlineStr">
        <is>
          <t>SVA1</t>
        </is>
      </c>
      <c r="B81" t="n">
        <v>3.5</v>
      </c>
      <c r="C81" t="inlineStr">
        <is>
          <t>stem</t>
        </is>
      </c>
      <c r="D81" t="inlineStr">
        <is>
          <t>Cl-</t>
        </is>
      </c>
      <c r="E81" t="n">
        <v>48.17</v>
      </c>
      <c r="F81" t="n">
        <v>2.52</v>
      </c>
      <c r="G81" t="inlineStr">
        <is>
          <t>mg/kg dry weight</t>
        </is>
      </c>
      <c r="H81" t="inlineStr">
        <is>
          <t>SE (n=240 obs)</t>
        </is>
      </c>
      <c r="I81" t="n">
        <v>2</v>
      </c>
      <c r="J81" t="inlineStr">
        <is>
          <t>b</t>
        </is>
      </c>
      <c r="K81" t="n">
        <v>6</v>
      </c>
      <c r="L81" t="inlineStr">
        <is>
          <t>raster pixel extraction</t>
        </is>
      </c>
    </row>
    <row r="82">
      <c r="A82" t="inlineStr">
        <is>
          <t>Apache</t>
        </is>
      </c>
      <c r="B82" t="n">
        <v>3.5</v>
      </c>
      <c r="C82" t="inlineStr">
        <is>
          <t>stem</t>
        </is>
      </c>
      <c r="D82" t="inlineStr">
        <is>
          <t>Cl-</t>
        </is>
      </c>
      <c r="E82" t="n">
        <v>34.73</v>
      </c>
      <c r="F82" t="n">
        <v>2.66</v>
      </c>
      <c r="G82" t="inlineStr">
        <is>
          <t>mg/kg dry weight</t>
        </is>
      </c>
      <c r="H82" t="inlineStr">
        <is>
          <t>SE (n=240 obs)</t>
        </is>
      </c>
      <c r="I82" t="n">
        <v>2</v>
      </c>
      <c r="J82" t="inlineStr">
        <is>
          <t>b</t>
        </is>
      </c>
      <c r="K82" t="n">
        <v>6</v>
      </c>
      <c r="L82" t="inlineStr">
        <is>
          <t>raster pixel extraction</t>
        </is>
      </c>
    </row>
    <row r="83">
      <c r="A83" t="inlineStr">
        <is>
          <t>SVA2</t>
        </is>
      </c>
      <c r="B83" t="n">
        <v>3.5</v>
      </c>
      <c r="C83" t="inlineStr">
        <is>
          <t>stem</t>
        </is>
      </c>
      <c r="D83" t="inlineStr">
        <is>
          <t>Cl-</t>
        </is>
      </c>
      <c r="E83" t="n">
        <v>27.76</v>
      </c>
      <c r="F83" t="n">
        <v>2.59</v>
      </c>
      <c r="G83" t="inlineStr">
        <is>
          <t>mg/kg dry weight</t>
        </is>
      </c>
      <c r="H83" t="inlineStr">
        <is>
          <t>SE (n=240 obs)</t>
        </is>
      </c>
      <c r="I83" t="n">
        <v>2</v>
      </c>
      <c r="J83" t="inlineStr">
        <is>
          <t>b</t>
        </is>
      </c>
      <c r="K83" t="n">
        <v>6</v>
      </c>
      <c r="L83" t="inlineStr">
        <is>
          <t>raster pixel extraction</t>
        </is>
      </c>
    </row>
    <row r="84">
      <c r="A84" t="inlineStr">
        <is>
          <t>Riverside</t>
        </is>
      </c>
      <c r="B84" t="n">
        <v>0.08</v>
      </c>
      <c r="C84" t="inlineStr">
        <is>
          <t>root</t>
        </is>
      </c>
      <c r="D84" t="inlineStr">
        <is>
          <t>Cl-</t>
        </is>
      </c>
      <c r="E84" t="n">
        <v>27.47</v>
      </c>
      <c r="F84" t="n">
        <v>2.23</v>
      </c>
      <c r="G84" t="inlineStr">
        <is>
          <t>mg/kg dry weight</t>
        </is>
      </c>
      <c r="H84" t="inlineStr">
        <is>
          <t>SE (n=240 obs)</t>
        </is>
      </c>
      <c r="I84" t="n">
        <v>2</v>
      </c>
      <c r="J84" t="inlineStr">
        <is>
          <t>c</t>
        </is>
      </c>
      <c r="K84" t="n">
        <v>6</v>
      </c>
      <c r="L84" t="inlineStr">
        <is>
          <t>raster pixel extraction</t>
        </is>
      </c>
    </row>
    <row r="85">
      <c r="A85" t="inlineStr">
        <is>
          <t>SVA1</t>
        </is>
      </c>
      <c r="B85" t="n">
        <v>0.08</v>
      </c>
      <c r="C85" t="inlineStr">
        <is>
          <t>root</t>
        </is>
      </c>
      <c r="D85" t="inlineStr">
        <is>
          <t>Cl-</t>
        </is>
      </c>
      <c r="E85" t="n">
        <v>40.77</v>
      </c>
      <c r="F85" t="n">
        <v>2.01</v>
      </c>
      <c r="G85" t="inlineStr">
        <is>
          <t>mg/kg dry weight</t>
        </is>
      </c>
      <c r="H85" t="inlineStr">
        <is>
          <t>SE (n=240 obs)</t>
        </is>
      </c>
      <c r="I85" t="n">
        <v>2</v>
      </c>
      <c r="J85" t="inlineStr">
        <is>
          <t>c</t>
        </is>
      </c>
      <c r="K85" t="n">
        <v>6</v>
      </c>
      <c r="L85" t="inlineStr">
        <is>
          <t>raster pixel extraction</t>
        </is>
      </c>
    </row>
    <row r="86">
      <c r="A86" t="inlineStr">
        <is>
          <t>Apache</t>
        </is>
      </c>
      <c r="B86" t="n">
        <v>0.08</v>
      </c>
      <c r="C86" t="inlineStr">
        <is>
          <t>root</t>
        </is>
      </c>
      <c r="D86" t="inlineStr">
        <is>
          <t>Cl-</t>
        </is>
      </c>
      <c r="E86" t="n">
        <v>26.32</v>
      </c>
      <c r="F86" t="n">
        <v>2.01</v>
      </c>
      <c r="G86" t="inlineStr">
        <is>
          <t>mg/kg dry weight</t>
        </is>
      </c>
      <c r="H86" t="inlineStr">
        <is>
          <t>SE (n=240 obs)</t>
        </is>
      </c>
      <c r="I86" t="n">
        <v>2</v>
      </c>
      <c r="J86" t="inlineStr">
        <is>
          <t>c</t>
        </is>
      </c>
      <c r="K86" t="n">
        <v>6</v>
      </c>
      <c r="L86" t="inlineStr">
        <is>
          <t>raster pixel extraction</t>
        </is>
      </c>
    </row>
    <row r="87">
      <c r="A87" t="inlineStr">
        <is>
          <t>SVA2</t>
        </is>
      </c>
      <c r="B87" t="n">
        <v>0.08</v>
      </c>
      <c r="C87" t="inlineStr">
        <is>
          <t>root</t>
        </is>
      </c>
      <c r="D87" t="inlineStr">
        <is>
          <t>Cl-</t>
        </is>
      </c>
      <c r="E87" t="n">
        <v>14.03</v>
      </c>
      <c r="F87" t="n">
        <v>2.01</v>
      </c>
      <c r="G87" t="inlineStr">
        <is>
          <t>mg/kg dry weight</t>
        </is>
      </c>
      <c r="H87" t="inlineStr">
        <is>
          <t>SE (n=240 obs)</t>
        </is>
      </c>
      <c r="I87" t="n">
        <v>2</v>
      </c>
      <c r="J87" t="inlineStr">
        <is>
          <t>c</t>
        </is>
      </c>
      <c r="K87" t="n">
        <v>6</v>
      </c>
      <c r="L87" t="inlineStr">
        <is>
          <t>raster pixel extraction</t>
        </is>
      </c>
    </row>
    <row r="88">
      <c r="A88" t="inlineStr">
        <is>
          <t>Riverside</t>
        </is>
      </c>
      <c r="B88" t="n">
        <v>2.5</v>
      </c>
      <c r="C88" t="inlineStr">
        <is>
          <t>root</t>
        </is>
      </c>
      <c r="D88" t="inlineStr">
        <is>
          <t>Cl-</t>
        </is>
      </c>
      <c r="E88" t="n">
        <v>25.89</v>
      </c>
      <c r="F88" t="n">
        <v>2.37</v>
      </c>
      <c r="G88" t="inlineStr">
        <is>
          <t>mg/kg dry weight</t>
        </is>
      </c>
      <c r="H88" t="inlineStr">
        <is>
          <t>SE (n=240 obs)</t>
        </is>
      </c>
      <c r="I88" t="n">
        <v>2</v>
      </c>
      <c r="J88" t="inlineStr">
        <is>
          <t>c</t>
        </is>
      </c>
      <c r="K88" t="n">
        <v>6</v>
      </c>
      <c r="L88" t="inlineStr">
        <is>
          <t>raster pixel extraction</t>
        </is>
      </c>
    </row>
    <row r="89">
      <c r="A89" t="inlineStr">
        <is>
          <t>SVA1</t>
        </is>
      </c>
      <c r="B89" t="n">
        <v>2.5</v>
      </c>
      <c r="C89" t="inlineStr">
        <is>
          <t>root</t>
        </is>
      </c>
      <c r="D89" t="inlineStr">
        <is>
          <t>Cl-</t>
        </is>
      </c>
      <c r="E89" t="n">
        <v>50.4</v>
      </c>
      <c r="F89" t="n">
        <v>1.94</v>
      </c>
      <c r="G89" t="inlineStr">
        <is>
          <t>mg/kg dry weight</t>
        </is>
      </c>
      <c r="H89" t="inlineStr">
        <is>
          <t>SE (n=240 obs)</t>
        </is>
      </c>
      <c r="I89" t="n">
        <v>2</v>
      </c>
      <c r="J89" t="inlineStr">
        <is>
          <t>c</t>
        </is>
      </c>
      <c r="K89" t="n">
        <v>6</v>
      </c>
      <c r="L89" t="inlineStr">
        <is>
          <t>raster pixel extraction</t>
        </is>
      </c>
    </row>
    <row r="90">
      <c r="A90" t="inlineStr">
        <is>
          <t>Apache</t>
        </is>
      </c>
      <c r="B90" t="n">
        <v>2.5</v>
      </c>
      <c r="C90" t="inlineStr">
        <is>
          <t>root</t>
        </is>
      </c>
      <c r="D90" t="inlineStr">
        <is>
          <t>Cl-</t>
        </is>
      </c>
      <c r="E90" t="n">
        <v>29.06</v>
      </c>
      <c r="F90" t="n">
        <v>2.01</v>
      </c>
      <c r="G90" t="inlineStr">
        <is>
          <t>mg/kg dry weight</t>
        </is>
      </c>
      <c r="H90" t="inlineStr">
        <is>
          <t>SE (n=240 obs)</t>
        </is>
      </c>
      <c r="I90" t="n">
        <v>2</v>
      </c>
      <c r="J90" t="inlineStr">
        <is>
          <t>c</t>
        </is>
      </c>
      <c r="K90" t="n">
        <v>6</v>
      </c>
      <c r="L90" t="inlineStr">
        <is>
          <t>raster pixel extraction</t>
        </is>
      </c>
    </row>
    <row r="91">
      <c r="A91" t="inlineStr">
        <is>
          <t>SVA2</t>
        </is>
      </c>
      <c r="B91" t="n">
        <v>2.5</v>
      </c>
      <c r="C91" t="inlineStr">
        <is>
          <t>root</t>
        </is>
      </c>
      <c r="D91" t="inlineStr">
        <is>
          <t>Cl-</t>
        </is>
      </c>
      <c r="E91" t="n">
        <v>23.67</v>
      </c>
      <c r="F91" t="n">
        <v>1.94</v>
      </c>
      <c r="G91" t="inlineStr">
        <is>
          <t>mg/kg dry weight</t>
        </is>
      </c>
      <c r="H91" t="inlineStr">
        <is>
          <t>SE (n=240 obs)</t>
        </is>
      </c>
      <c r="I91" t="n">
        <v>2</v>
      </c>
      <c r="J91" t="inlineStr">
        <is>
          <t>c</t>
        </is>
      </c>
      <c r="K91" t="n">
        <v>6</v>
      </c>
      <c r="L91" t="inlineStr">
        <is>
          <t>raster pixel extraction</t>
        </is>
      </c>
    </row>
    <row r="92">
      <c r="A92" t="inlineStr">
        <is>
          <t>Riverside</t>
        </is>
      </c>
      <c r="B92" t="n">
        <v>3</v>
      </c>
      <c r="C92" t="inlineStr">
        <is>
          <t>root</t>
        </is>
      </c>
      <c r="D92" t="inlineStr">
        <is>
          <t>Cl-</t>
        </is>
      </c>
      <c r="E92" t="n">
        <v>31.93</v>
      </c>
      <c r="F92" t="n">
        <v>2.23</v>
      </c>
      <c r="G92" t="inlineStr">
        <is>
          <t>mg/kg dry weight</t>
        </is>
      </c>
      <c r="H92" t="inlineStr">
        <is>
          <t>SE (n=240 obs)</t>
        </is>
      </c>
      <c r="I92" t="n">
        <v>2</v>
      </c>
      <c r="J92" t="inlineStr">
        <is>
          <t>c</t>
        </is>
      </c>
      <c r="K92" t="n">
        <v>6</v>
      </c>
      <c r="L92" t="inlineStr">
        <is>
          <t>raster pixel extraction</t>
        </is>
      </c>
    </row>
    <row r="93">
      <c r="A93" t="inlineStr">
        <is>
          <t>SVA1</t>
        </is>
      </c>
      <c r="B93" t="n">
        <v>3</v>
      </c>
      <c r="C93" t="inlineStr">
        <is>
          <t>root</t>
        </is>
      </c>
      <c r="D93" t="inlineStr">
        <is>
          <t>Cl-</t>
        </is>
      </c>
      <c r="E93" t="n">
        <v>49.39</v>
      </c>
      <c r="F93" t="n">
        <v>1.87</v>
      </c>
      <c r="G93" t="inlineStr">
        <is>
          <t>mg/kg dry weight</t>
        </is>
      </c>
      <c r="H93" t="inlineStr">
        <is>
          <t>SE (n=240 obs)</t>
        </is>
      </c>
      <c r="I93" t="n">
        <v>2</v>
      </c>
      <c r="J93" t="inlineStr">
        <is>
          <t>c</t>
        </is>
      </c>
      <c r="K93" t="n">
        <v>6</v>
      </c>
      <c r="L93" t="inlineStr">
        <is>
          <t>raster pixel extraction</t>
        </is>
      </c>
    </row>
    <row r="94">
      <c r="A94" t="inlineStr">
        <is>
          <t>Apache</t>
        </is>
      </c>
      <c r="B94" t="n">
        <v>3</v>
      </c>
      <c r="C94" t="inlineStr">
        <is>
          <t>root</t>
        </is>
      </c>
      <c r="D94" t="inlineStr">
        <is>
          <t>Cl-</t>
        </is>
      </c>
      <c r="E94" t="n">
        <v>32.36</v>
      </c>
      <c r="F94" t="n">
        <v>2.08</v>
      </c>
      <c r="G94" t="inlineStr">
        <is>
          <t>mg/kg dry weight</t>
        </is>
      </c>
      <c r="H94" t="inlineStr">
        <is>
          <t>SE (n=240 obs)</t>
        </is>
      </c>
      <c r="I94" t="n">
        <v>2</v>
      </c>
      <c r="J94" t="inlineStr">
        <is>
          <t>c</t>
        </is>
      </c>
      <c r="K94" t="n">
        <v>6</v>
      </c>
      <c r="L94" t="inlineStr">
        <is>
          <t>raster pixel extraction</t>
        </is>
      </c>
    </row>
    <row r="95">
      <c r="A95" t="inlineStr">
        <is>
          <t>SVA2</t>
        </is>
      </c>
      <c r="B95" t="n">
        <v>3</v>
      </c>
      <c r="C95" t="inlineStr">
        <is>
          <t>root</t>
        </is>
      </c>
      <c r="D95" t="inlineStr">
        <is>
          <t>Cl-</t>
        </is>
      </c>
      <c r="E95" t="n">
        <v>22.8</v>
      </c>
      <c r="F95" t="n">
        <v>2.01</v>
      </c>
      <c r="G95" t="inlineStr">
        <is>
          <t>mg/kg dry weight</t>
        </is>
      </c>
      <c r="H95" t="inlineStr">
        <is>
          <t>SE (n=240 obs)</t>
        </is>
      </c>
      <c r="I95" t="n">
        <v>2</v>
      </c>
      <c r="J95" t="inlineStr">
        <is>
          <t>c</t>
        </is>
      </c>
      <c r="K95" t="n">
        <v>6</v>
      </c>
      <c r="L95" t="inlineStr">
        <is>
          <t>raster pixel extraction</t>
        </is>
      </c>
    </row>
    <row r="96">
      <c r="A96" t="inlineStr">
        <is>
          <t>Riverside</t>
        </is>
      </c>
      <c r="B96" t="n">
        <v>3.5</v>
      </c>
      <c r="C96" t="inlineStr">
        <is>
          <t>root</t>
        </is>
      </c>
      <c r="D96" t="inlineStr">
        <is>
          <t>Cl-</t>
        </is>
      </c>
      <c r="E96" t="n">
        <v>31.21</v>
      </c>
      <c r="F96" t="n">
        <v>2.37</v>
      </c>
      <c r="G96" t="inlineStr">
        <is>
          <t>mg/kg dry weight</t>
        </is>
      </c>
      <c r="H96" t="inlineStr">
        <is>
          <t>SE (n=240 obs)</t>
        </is>
      </c>
      <c r="I96" t="n">
        <v>2</v>
      </c>
      <c r="J96" t="inlineStr">
        <is>
          <t>c</t>
        </is>
      </c>
      <c r="K96" t="n">
        <v>6</v>
      </c>
      <c r="L96" t="inlineStr">
        <is>
          <t>raster pixel extraction</t>
        </is>
      </c>
    </row>
    <row r="97">
      <c r="A97" t="inlineStr">
        <is>
          <t>SVA1</t>
        </is>
      </c>
      <c r="B97" t="n">
        <v>3.5</v>
      </c>
      <c r="C97" t="inlineStr">
        <is>
          <t>root</t>
        </is>
      </c>
      <c r="D97" t="inlineStr">
        <is>
          <t>Cl-</t>
        </is>
      </c>
      <c r="E97" t="n">
        <v>52.41</v>
      </c>
      <c r="F97" t="n">
        <v>1.87</v>
      </c>
      <c r="G97" t="inlineStr">
        <is>
          <t>mg/kg dry weight</t>
        </is>
      </c>
      <c r="H97" t="inlineStr">
        <is>
          <t>SE (n=240 obs)</t>
        </is>
      </c>
      <c r="I97" t="n">
        <v>2</v>
      </c>
      <c r="J97" t="inlineStr">
        <is>
          <t>c</t>
        </is>
      </c>
      <c r="K97" t="n">
        <v>6</v>
      </c>
      <c r="L97" t="inlineStr">
        <is>
          <t>raster pixel extraction</t>
        </is>
      </c>
    </row>
    <row r="98">
      <c r="A98" t="inlineStr">
        <is>
          <t>Apache</t>
        </is>
      </c>
      <c r="B98" t="n">
        <v>3.5</v>
      </c>
      <c r="C98" t="inlineStr">
        <is>
          <t>root</t>
        </is>
      </c>
      <c r="D98" t="inlineStr">
        <is>
          <t>Cl-</t>
        </is>
      </c>
      <c r="E98" t="n">
        <v>46.59</v>
      </c>
      <c r="F98" t="n">
        <v>2.08</v>
      </c>
      <c r="G98" t="inlineStr">
        <is>
          <t>mg/kg dry weight</t>
        </is>
      </c>
      <c r="H98" t="inlineStr">
        <is>
          <t>SE (n=240 obs)</t>
        </is>
      </c>
      <c r="I98" t="n">
        <v>2</v>
      </c>
      <c r="J98" t="inlineStr">
        <is>
          <t>c</t>
        </is>
      </c>
      <c r="K98" t="n">
        <v>6</v>
      </c>
      <c r="L98" t="inlineStr">
        <is>
          <t>raster pixel extraction</t>
        </is>
      </c>
    </row>
    <row r="99">
      <c r="A99" t="inlineStr">
        <is>
          <t>SVA2</t>
        </is>
      </c>
      <c r="B99" t="n">
        <v>3.5</v>
      </c>
      <c r="C99" t="inlineStr">
        <is>
          <t>root</t>
        </is>
      </c>
      <c r="D99" t="inlineStr">
        <is>
          <t>Cl-</t>
        </is>
      </c>
      <c r="E99" t="n">
        <v>29.13</v>
      </c>
      <c r="F99" t="n">
        <v>2.01</v>
      </c>
      <c r="G99" t="inlineStr">
        <is>
          <t>mg/kg dry weight</t>
        </is>
      </c>
      <c r="H99" t="inlineStr">
        <is>
          <t>SE (n=240 obs)</t>
        </is>
      </c>
      <c r="I99" t="n">
        <v>2</v>
      </c>
      <c r="J99" t="inlineStr">
        <is>
          <t>c</t>
        </is>
      </c>
      <c r="K99" t="n">
        <v>6</v>
      </c>
      <c r="L99" t="inlineStr">
        <is>
          <t>raster pixel extraction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Cultivar-mean concentrations (mg/kg dry weight) and compartment ratios from 'Campos-Villareal Ions'; made with data/literature_data/salt_accumulation_analysis/campos_villarreal_partitioning.py</t>
        </is>
      </c>
    </row>
    <row r="2">
      <c r="A2" t="inlineStr">
        <is>
          <t>'above control' = treatment minus 0.08 dS/m control; 'leaf share' = leaf / (leaf + stem + root)</t>
        </is>
      </c>
    </row>
    <row r="4">
      <c r="A4" t="inlineStr">
        <is>
          <t>ion</t>
        </is>
      </c>
      <c r="B4" t="inlineStr">
        <is>
          <t>salinity_dS_m</t>
        </is>
      </c>
      <c r="C4" t="inlineStr">
        <is>
          <t>basis</t>
        </is>
      </c>
      <c r="D4" t="inlineStr">
        <is>
          <t>leaf</t>
        </is>
      </c>
      <c r="E4" t="inlineStr">
        <is>
          <t>stem</t>
        </is>
      </c>
      <c r="F4" t="inlineStr">
        <is>
          <t>root</t>
        </is>
      </c>
      <c r="G4" t="inlineStr">
        <is>
          <t>leaf/stem</t>
        </is>
      </c>
      <c r="H4" t="inlineStr">
        <is>
          <t>leaf/root</t>
        </is>
      </c>
      <c r="I4" t="inlineStr">
        <is>
          <t>stem/root</t>
        </is>
      </c>
      <c r="J4" t="inlineStr">
        <is>
          <t>leaf share</t>
        </is>
      </c>
    </row>
    <row r="5">
      <c r="A5" t="inlineStr">
        <is>
          <t>Na+</t>
        </is>
      </c>
      <c r="B5" t="inlineStr">
        <is>
          <t>0.08</t>
        </is>
      </c>
      <c r="C5" t="inlineStr">
        <is>
          <t>absolute</t>
        </is>
      </c>
      <c r="D5" t="n">
        <v>258.815</v>
      </c>
      <c r="E5" t="n">
        <v>373.268</v>
      </c>
      <c r="F5" t="n">
        <v>369.992</v>
      </c>
      <c r="G5" t="n">
        <v>0.6929999999999999</v>
      </c>
      <c r="H5" t="n">
        <v>0.7</v>
      </c>
      <c r="I5" t="n">
        <v>1.009</v>
      </c>
      <c r="J5" t="n">
        <v>0.258</v>
      </c>
    </row>
    <row r="6">
      <c r="A6" t="inlineStr">
        <is>
          <t>Na+</t>
        </is>
      </c>
      <c r="B6" t="inlineStr">
        <is>
          <t>2.5</t>
        </is>
      </c>
      <c r="C6" t="inlineStr">
        <is>
          <t>absolute</t>
        </is>
      </c>
      <c r="D6" t="n">
        <v>657.28</v>
      </c>
      <c r="E6" t="n">
        <v>677.102</v>
      </c>
      <c r="F6" t="n">
        <v>635.4</v>
      </c>
      <c r="G6" t="n">
        <v>0.971</v>
      </c>
      <c r="H6" t="n">
        <v>1.034</v>
      </c>
      <c r="I6" t="n">
        <v>1.066</v>
      </c>
      <c r="J6" t="n">
        <v>0.334</v>
      </c>
    </row>
    <row r="7">
      <c r="A7" t="inlineStr">
        <is>
          <t>Na+</t>
        </is>
      </c>
      <c r="B7" t="inlineStr">
        <is>
          <t>3.0</t>
        </is>
      </c>
      <c r="C7" t="inlineStr">
        <is>
          <t>absolute</t>
        </is>
      </c>
      <c r="D7" t="n">
        <v>716.668</v>
      </c>
      <c r="E7" t="n">
        <v>823.75</v>
      </c>
      <c r="F7" t="n">
        <v>765.408</v>
      </c>
      <c r="G7" t="n">
        <v>0.87</v>
      </c>
      <c r="H7" t="n">
        <v>0.9360000000000001</v>
      </c>
      <c r="I7" t="n">
        <v>1.076</v>
      </c>
      <c r="J7" t="n">
        <v>0.311</v>
      </c>
    </row>
    <row r="8">
      <c r="A8" t="inlineStr">
        <is>
          <t>Na+</t>
        </is>
      </c>
      <c r="B8" t="inlineStr">
        <is>
          <t>3.5</t>
        </is>
      </c>
      <c r="C8" t="inlineStr">
        <is>
          <t>absolute</t>
        </is>
      </c>
      <c r="D8" t="n">
        <v>906.3200000000001</v>
      </c>
      <c r="E8" t="n">
        <v>996.27</v>
      </c>
      <c r="F8" t="n">
        <v>739.042</v>
      </c>
      <c r="G8" t="n">
        <v>0.91</v>
      </c>
      <c r="H8" t="n">
        <v>1.226</v>
      </c>
      <c r="I8" t="n">
        <v>1.348</v>
      </c>
      <c r="J8" t="n">
        <v>0.343</v>
      </c>
    </row>
    <row r="9">
      <c r="A9" t="inlineStr">
        <is>
          <t>Cl-</t>
        </is>
      </c>
      <c r="B9" t="inlineStr">
        <is>
          <t>0.08</t>
        </is>
      </c>
      <c r="C9" t="inlineStr">
        <is>
          <t>absolute</t>
        </is>
      </c>
      <c r="D9" t="n">
        <v>16.965</v>
      </c>
      <c r="E9" t="n">
        <v>18.742</v>
      </c>
      <c r="F9" t="n">
        <v>27.148</v>
      </c>
      <c r="G9" t="n">
        <v>0.905</v>
      </c>
      <c r="H9" t="n">
        <v>0.625</v>
      </c>
      <c r="I9" t="n">
        <v>0.6899999999999999</v>
      </c>
      <c r="J9" t="n">
        <v>0.27</v>
      </c>
    </row>
    <row r="10">
      <c r="A10" t="inlineStr">
        <is>
          <t>Cl-</t>
        </is>
      </c>
      <c r="B10" t="inlineStr">
        <is>
          <t>2.5</t>
        </is>
      </c>
      <c r="C10" t="inlineStr">
        <is>
          <t>absolute</t>
        </is>
      </c>
      <c r="D10" t="n">
        <v>33.342</v>
      </c>
      <c r="E10" t="n">
        <v>25.068</v>
      </c>
      <c r="F10" t="n">
        <v>32.255</v>
      </c>
      <c r="G10" t="n">
        <v>1.33</v>
      </c>
      <c r="H10" t="n">
        <v>1.034</v>
      </c>
      <c r="I10" t="n">
        <v>0.777</v>
      </c>
      <c r="J10" t="n">
        <v>0.368</v>
      </c>
    </row>
    <row r="11">
      <c r="A11" t="inlineStr">
        <is>
          <t>Cl-</t>
        </is>
      </c>
      <c r="B11" t="inlineStr">
        <is>
          <t>3.0</t>
        </is>
      </c>
      <c r="C11" t="inlineStr">
        <is>
          <t>absolute</t>
        </is>
      </c>
      <c r="D11" t="n">
        <v>46.18</v>
      </c>
      <c r="E11" t="n">
        <v>31.855</v>
      </c>
      <c r="F11" t="n">
        <v>34.12</v>
      </c>
      <c r="G11" t="n">
        <v>1.45</v>
      </c>
      <c r="H11" t="n">
        <v>1.353</v>
      </c>
      <c r="I11" t="n">
        <v>0.9340000000000001</v>
      </c>
      <c r="J11" t="n">
        <v>0.412</v>
      </c>
    </row>
    <row r="12">
      <c r="A12" t="inlineStr">
        <is>
          <t>Cl-</t>
        </is>
      </c>
      <c r="B12" t="inlineStr">
        <is>
          <t>3.5</t>
        </is>
      </c>
      <c r="C12" t="inlineStr">
        <is>
          <t>absolute</t>
        </is>
      </c>
      <c r="D12" t="n">
        <v>50.968</v>
      </c>
      <c r="E12" t="n">
        <v>37.965</v>
      </c>
      <c r="F12" t="n">
        <v>39.835</v>
      </c>
      <c r="G12" t="n">
        <v>1.342</v>
      </c>
      <c r="H12" t="n">
        <v>1.279</v>
      </c>
      <c r="I12" t="n">
        <v>0.953</v>
      </c>
      <c r="J12" t="n">
        <v>0.396</v>
      </c>
    </row>
    <row r="13">
      <c r="A13" t="inlineStr">
        <is>
          <t>Na+</t>
        </is>
      </c>
      <c r="B13" t="inlineStr">
        <is>
          <t>2.5-3.5 mean</t>
        </is>
      </c>
      <c r="C13" t="inlineStr">
        <is>
          <t>absolute</t>
        </is>
      </c>
      <c r="D13" t="n">
        <v>760.0890000000001</v>
      </c>
      <c r="E13" t="n">
        <v>832.374</v>
      </c>
      <c r="F13" t="n">
        <v>713.283</v>
      </c>
      <c r="G13" t="n">
        <v>0.913</v>
      </c>
      <c r="H13" t="n">
        <v>1.066</v>
      </c>
      <c r="I13" t="n">
        <v>1.167</v>
      </c>
      <c r="J13" t="n">
        <v>0.33</v>
      </c>
    </row>
    <row r="14">
      <c r="A14" t="inlineStr">
        <is>
          <t>Cl-</t>
        </is>
      </c>
      <c r="B14" t="inlineStr">
        <is>
          <t>2.5-3.5 mean</t>
        </is>
      </c>
      <c r="C14" t="inlineStr">
        <is>
          <t>absolute</t>
        </is>
      </c>
      <c r="D14" t="n">
        <v>43.497</v>
      </c>
      <c r="E14" t="n">
        <v>31.629</v>
      </c>
      <c r="F14" t="n">
        <v>35.403</v>
      </c>
      <c r="G14" t="n">
        <v>1.375</v>
      </c>
      <c r="H14" t="n">
        <v>1.229</v>
      </c>
      <c r="I14" t="n">
        <v>0.893</v>
      </c>
      <c r="J14" t="n">
        <v>0.394</v>
      </c>
    </row>
    <row r="15">
      <c r="A15" t="inlineStr">
        <is>
          <t>Na+</t>
        </is>
      </c>
      <c r="B15" t="inlineStr">
        <is>
          <t>2.5</t>
        </is>
      </c>
      <c r="C15" t="inlineStr">
        <is>
          <t>above control</t>
        </is>
      </c>
      <c r="D15" t="n">
        <v>398.465</v>
      </c>
      <c r="E15" t="n">
        <v>303.835</v>
      </c>
      <c r="F15" t="n">
        <v>265.407</v>
      </c>
      <c r="G15" t="n">
        <v>1.311</v>
      </c>
      <c r="H15" t="n">
        <v>1.501</v>
      </c>
      <c r="I15" t="n">
        <v>1.145</v>
      </c>
      <c r="J15" t="n">
        <v>0.412</v>
      </c>
    </row>
    <row r="16">
      <c r="A16" t="inlineStr">
        <is>
          <t>Na+</t>
        </is>
      </c>
      <c r="B16" t="inlineStr">
        <is>
          <t>3.0</t>
        </is>
      </c>
      <c r="C16" t="inlineStr">
        <is>
          <t>above control</t>
        </is>
      </c>
      <c r="D16" t="n">
        <v>457.852</v>
      </c>
      <c r="E16" t="n">
        <v>450.482</v>
      </c>
      <c r="F16" t="n">
        <v>395.415</v>
      </c>
      <c r="G16" t="n">
        <v>1.016</v>
      </c>
      <c r="H16" t="n">
        <v>1.158</v>
      </c>
      <c r="I16" t="n">
        <v>1.139</v>
      </c>
      <c r="J16" t="n">
        <v>0.351</v>
      </c>
    </row>
    <row r="17">
      <c r="A17" t="inlineStr">
        <is>
          <t>Na+</t>
        </is>
      </c>
      <c r="B17" t="inlineStr">
        <is>
          <t>3.5</t>
        </is>
      </c>
      <c r="C17" t="inlineStr">
        <is>
          <t>above control</t>
        </is>
      </c>
      <c r="D17" t="n">
        <v>647.505</v>
      </c>
      <c r="E17" t="n">
        <v>623.002</v>
      </c>
      <c r="F17" t="n">
        <v>369.05</v>
      </c>
      <c r="G17" t="n">
        <v>1.039</v>
      </c>
      <c r="H17" t="n">
        <v>1.755</v>
      </c>
      <c r="I17" t="n">
        <v>1.688</v>
      </c>
      <c r="J17" t="n">
        <v>0.395</v>
      </c>
    </row>
    <row r="18">
      <c r="A18" t="inlineStr">
        <is>
          <t>Cl-</t>
        </is>
      </c>
      <c r="B18" t="inlineStr">
        <is>
          <t>2.5</t>
        </is>
      </c>
      <c r="C18" t="inlineStr">
        <is>
          <t>above control</t>
        </is>
      </c>
      <c r="D18" t="n">
        <v>16.378</v>
      </c>
      <c r="E18" t="n">
        <v>6.325</v>
      </c>
      <c r="F18" t="n">
        <v>5.108</v>
      </c>
      <c r="G18" t="n">
        <v>2.589</v>
      </c>
      <c r="H18" t="n">
        <v>3.207</v>
      </c>
      <c r="I18" t="n">
        <v>1.238</v>
      </c>
      <c r="J18" t="n">
        <v>0.589</v>
      </c>
    </row>
    <row r="19">
      <c r="A19" t="inlineStr">
        <is>
          <t>Cl-</t>
        </is>
      </c>
      <c r="B19" t="inlineStr">
        <is>
          <t>3.0</t>
        </is>
      </c>
      <c r="C19" t="inlineStr">
        <is>
          <t>above control</t>
        </is>
      </c>
      <c r="D19" t="n">
        <v>29.215</v>
      </c>
      <c r="E19" t="n">
        <v>13.112</v>
      </c>
      <c r="F19" t="n">
        <v>6.972</v>
      </c>
      <c r="G19" t="n">
        <v>2.228</v>
      </c>
      <c r="H19" t="n">
        <v>4.19</v>
      </c>
      <c r="I19" t="n">
        <v>1.881</v>
      </c>
      <c r="J19" t="n">
        <v>0.593</v>
      </c>
    </row>
    <row r="20">
      <c r="A20" t="inlineStr">
        <is>
          <t>Cl-</t>
        </is>
      </c>
      <c r="B20" t="inlineStr">
        <is>
          <t>3.5</t>
        </is>
      </c>
      <c r="C20" t="inlineStr">
        <is>
          <t>above control</t>
        </is>
      </c>
      <c r="D20" t="n">
        <v>34.002</v>
      </c>
      <c r="E20" t="n">
        <v>19.223</v>
      </c>
      <c r="F20" t="n">
        <v>12.688</v>
      </c>
      <c r="G20" t="n">
        <v>1.769</v>
      </c>
      <c r="H20" t="n">
        <v>2.68</v>
      </c>
      <c r="I20" t="n">
        <v>1.515</v>
      </c>
      <c r="J20" t="n">
        <v>0.516</v>
      </c>
    </row>
    <row r="21">
      <c r="A21" t="inlineStr">
        <is>
          <t>Na+</t>
        </is>
      </c>
      <c r="B21" t="inlineStr">
        <is>
          <t>2.5-3.5 mean</t>
        </is>
      </c>
      <c r="C21" t="inlineStr">
        <is>
          <t>above control</t>
        </is>
      </c>
      <c r="D21" t="n">
        <v>501.274</v>
      </c>
      <c r="E21" t="n">
        <v>459.107</v>
      </c>
      <c r="F21" t="n">
        <v>343.291</v>
      </c>
      <c r="G21" t="n">
        <v>1.092</v>
      </c>
      <c r="H21" t="n">
        <v>1.46</v>
      </c>
      <c r="I21" t="n">
        <v>1.337</v>
      </c>
      <c r="J21" t="n">
        <v>0.385</v>
      </c>
    </row>
    <row r="22">
      <c r="A22" t="inlineStr">
        <is>
          <t>Cl-</t>
        </is>
      </c>
      <c r="B22" t="inlineStr">
        <is>
          <t>2.5-3.5 mean</t>
        </is>
      </c>
      <c r="C22" t="inlineStr">
        <is>
          <t>above control</t>
        </is>
      </c>
      <c r="D22" t="n">
        <v>26.532</v>
      </c>
      <c r="E22" t="n">
        <v>12.887</v>
      </c>
      <c r="F22" t="n">
        <v>8.256</v>
      </c>
      <c r="G22" t="n">
        <v>2.059</v>
      </c>
      <c r="H22" t="n">
        <v>3.214</v>
      </c>
      <c r="I22" t="n">
        <v>1.561</v>
      </c>
      <c r="J22" t="n">
        <v>0.5570000000000001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Josh Gottlieb</dc:creator>
  <dcterms:created xsi:type="dcterms:W3CDTF">2026-04-06T04:24:07Z</dcterms:created>
  <dcterms:modified xsi:type="dcterms:W3CDTF">2026-10-06T04:45:46Z</dcterms:modified>
  <cp:lastModifiedBy>Josh Gottlieb</cp:lastModifiedBy>
</cp:coreProperties>
</file>