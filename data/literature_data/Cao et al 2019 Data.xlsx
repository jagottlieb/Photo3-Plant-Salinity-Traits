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osyntec-my.sharepoint.com/personal/josh_gottlieb_geosyntec_com/Documents/Documents/SourceCode/Photo3-Plant-Salinity-Traits/literature_data/"/>
    </mc:Choice>
  </mc:AlternateContent>
  <xr:revisionPtr revIDLastSave="58" documentId="8_{70A7D5AF-436E-47C0-ACB1-D218129E06A9}" xr6:coauthVersionLast="47" xr6:coauthVersionMax="47" xr10:uidLastSave="{F10CE7D4-E23F-4A67-B5E5-D628B0551D7F}"/>
  <bookViews>
    <workbookView minimized="1" xWindow="-22140" yWindow="900" windowWidth="17280" windowHeight="9960" activeTab="1" xr2:uid="{61F01B99-48EB-4810-BABE-F1C7C9AA3871}"/>
  </bookViews>
  <sheets>
    <sheet name="Table2_Pawnee_rootstocks_splitS" sheetId="1" r:id="rId1"/>
    <sheet name="Table1_PV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2" l="1"/>
  <c r="F3" i="2"/>
  <c r="G3" i="2" s="1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11" i="2"/>
  <c r="F12" i="2"/>
  <c r="G12" i="2" s="1"/>
  <c r="F13" i="2"/>
  <c r="G13" i="2" s="1"/>
  <c r="F2" i="2"/>
  <c r="G2" i="2" s="1"/>
  <c r="D14" i="1"/>
  <c r="E14" i="1"/>
  <c r="F14" i="1"/>
  <c r="H14" i="1"/>
  <c r="C14" i="1"/>
  <c r="B14" i="1"/>
</calcChain>
</file>

<file path=xl/sharedStrings.xml><?xml version="1.0" encoding="utf-8"?>
<sst xmlns="http://schemas.openxmlformats.org/spreadsheetml/2006/main" count="40" uniqueCount="27">
  <si>
    <t>Rootstock</t>
  </si>
  <si>
    <t>Total leaflet area (cm^2)</t>
  </si>
  <si>
    <t>Total leaflet area_Std_Err</t>
  </si>
  <si>
    <t>STR_Std_Err</t>
  </si>
  <si>
    <t>CTR_Std_Err</t>
  </si>
  <si>
    <t>87MX1-2.2</t>
  </si>
  <si>
    <t>87MX5-1.7</t>
  </si>
  <si>
    <t>Elliott</t>
  </si>
  <si>
    <t>Frutoso</t>
  </si>
  <si>
    <t>Giles</t>
  </si>
  <si>
    <t>Major</t>
  </si>
  <si>
    <t>Moore</t>
  </si>
  <si>
    <t>Peruque</t>
  </si>
  <si>
    <t>Posey</t>
  </si>
  <si>
    <t>Riverside</t>
  </si>
  <si>
    <t>San Felipe</t>
  </si>
  <si>
    <t>VC1-68</t>
  </si>
  <si>
    <t>Maximum Stomatal Transpiration Rate (mmol m^-2 s^-1)</t>
  </si>
  <si>
    <t>Cuticular Transpiration Rate (mmol m^-2 s^-1)</t>
  </si>
  <si>
    <t>Cuticular Transpiration Rate (mm s^-1)</t>
  </si>
  <si>
    <t>Average</t>
  </si>
  <si>
    <t>RWCtlp (%)</t>
  </si>
  <si>
    <t>ROWCtlp (%)</t>
  </si>
  <si>
    <t>Va/Vp</t>
  </si>
  <si>
    <t>emax (MPa)</t>
  </si>
  <si>
    <t>pi0 (Mpa)</t>
  </si>
  <si>
    <t>Cft (Mpa^-1)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</si>
</sst>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289560</xdr:colOff>
      <xdr:row>1</xdr:row>
      <xdr:rowOff>139065</xdr:rowOff>
    </xdr:from>
    <xdr:to>
      <xdr:col>20</xdr:col>
      <xdr:colOff>307729</xdr:colOff>
      <xdr:row>23</xdr:row>
      <xdr:rowOff>34858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4E050F-7777-8E36-5D3D-CA68918E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88480" y="329565"/>
          <a:ext cx="7340989" cy="40715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B22BF-51FE-497D-A207-4FAEC8FD21BF}">
  <dimension ref="A1:H14"/>
  <sheetViews>
    <sheetView workbookViewId="0">
      <selection activeCell="B2" sqref="B2:B14"/>
    </sheetView>
  </sheetViews>
  <sheetFormatPr defaultRowHeight="15" x14ac:dyDescent="0.25"/>
  <cols>
    <col min="1" max="1" width="19.140625" customWidth="1"/>
    <col min="2" max="2" width="22.85546875" bestFit="1" customWidth="1"/>
    <col min="3" max="3" width="23" bestFit="1" customWidth="1"/>
    <col min="4" max="4" width="52.42578125" bestFit="1" customWidth="1"/>
    <col min="5" max="5" width="17" customWidth="1"/>
    <col min="6" max="6" width="43.140625" bestFit="1" customWidth="1"/>
    <col min="7" max="7" width="43.140625" customWidth="1"/>
    <col min="8" max="8" width="11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17</v>
      </c>
      <c r="E1" t="s">
        <v>3</v>
      </c>
      <c r="F1" t="s">
        <v>18</v>
      </c>
      <c r="G1" t="s">
        <v>19</v>
      </c>
      <c r="H1" t="s">
        <v>4</v>
      </c>
    </row>
    <row r="2" spans="1:8" x14ac:dyDescent="0.25">
      <c r="A2" t="s">
        <v>5</v>
      </c>
      <c r="B2">
        <v>25.42</v>
      </c>
      <c r="C2">
        <v>2.44</v>
      </c>
      <c r="D2">
        <v>0.77</v>
      </c>
      <c r="E2">
        <v>0.16</v>
      </c>
      <c r="F2">
        <v>0.2</v>
      </c>
      <c r="H2">
        <v>0.05</v>
      </c>
    </row>
    <row r="3" spans="1:8" x14ac:dyDescent="0.25">
      <c r="A3" t="s">
        <v>6</v>
      </c>
      <c r="B3">
        <v>24.96</v>
      </c>
      <c r="C3">
        <v>4.26</v>
      </c>
      <c r="D3">
        <v>0.82</v>
      </c>
      <c r="E3">
        <v>0.22</v>
      </c>
      <c r="F3">
        <v>0.2</v>
      </c>
      <c r="H3">
        <v>0.04</v>
      </c>
    </row>
    <row r="4" spans="1:8" x14ac:dyDescent="0.25">
      <c r="A4" t="s">
        <v>7</v>
      </c>
      <c r="B4">
        <v>26.91</v>
      </c>
      <c r="C4">
        <v>2.88</v>
      </c>
      <c r="D4">
        <v>0.62</v>
      </c>
      <c r="E4">
        <v>0.31</v>
      </c>
      <c r="F4">
        <v>0.17</v>
      </c>
      <c r="H4">
        <v>0.09</v>
      </c>
    </row>
    <row r="5" spans="1:8" x14ac:dyDescent="0.25">
      <c r="A5" t="s">
        <v>8</v>
      </c>
      <c r="B5">
        <v>22.7</v>
      </c>
      <c r="C5">
        <v>1.57</v>
      </c>
      <c r="D5">
        <v>0.97</v>
      </c>
      <c r="E5">
        <v>0.3</v>
      </c>
      <c r="F5">
        <v>0.22</v>
      </c>
      <c r="H5">
        <v>0.06</v>
      </c>
    </row>
    <row r="6" spans="1:8" x14ac:dyDescent="0.25">
      <c r="A6" t="s">
        <v>9</v>
      </c>
      <c r="B6">
        <v>24.62</v>
      </c>
      <c r="C6">
        <v>4.0999999999999996</v>
      </c>
      <c r="D6">
        <v>0.77</v>
      </c>
      <c r="E6">
        <v>0.23</v>
      </c>
      <c r="F6">
        <v>0.21</v>
      </c>
      <c r="H6">
        <v>0.08</v>
      </c>
    </row>
    <row r="7" spans="1:8" x14ac:dyDescent="0.25">
      <c r="A7" t="s">
        <v>10</v>
      </c>
      <c r="B7">
        <v>24.6</v>
      </c>
      <c r="C7">
        <v>4.3099999999999996</v>
      </c>
      <c r="D7">
        <v>0.75</v>
      </c>
      <c r="E7">
        <v>0.41</v>
      </c>
      <c r="F7">
        <v>0.19</v>
      </c>
      <c r="H7">
        <v>0.05</v>
      </c>
    </row>
    <row r="8" spans="1:8" x14ac:dyDescent="0.25">
      <c r="A8" t="s">
        <v>11</v>
      </c>
      <c r="B8">
        <v>27.23</v>
      </c>
      <c r="C8">
        <v>3.9</v>
      </c>
      <c r="D8">
        <v>0.92</v>
      </c>
      <c r="E8">
        <v>0.41</v>
      </c>
      <c r="F8">
        <v>0.21</v>
      </c>
      <c r="H8">
        <v>7.0000000000000007E-2</v>
      </c>
    </row>
    <row r="9" spans="1:8" x14ac:dyDescent="0.25">
      <c r="A9" t="s">
        <v>12</v>
      </c>
      <c r="B9">
        <v>26.39</v>
      </c>
      <c r="C9">
        <v>5.67</v>
      </c>
      <c r="D9">
        <v>0.84</v>
      </c>
      <c r="E9">
        <v>0.36</v>
      </c>
      <c r="F9">
        <v>0.27</v>
      </c>
      <c r="H9">
        <v>0.16</v>
      </c>
    </row>
    <row r="10" spans="1:8" x14ac:dyDescent="0.25">
      <c r="A10" t="s">
        <v>13</v>
      </c>
      <c r="B10">
        <v>28.91</v>
      </c>
      <c r="C10">
        <v>2.75</v>
      </c>
      <c r="D10">
        <v>1.05</v>
      </c>
      <c r="E10">
        <v>0.35</v>
      </c>
      <c r="F10">
        <v>0.2</v>
      </c>
      <c r="H10">
        <v>0.08</v>
      </c>
    </row>
    <row r="11" spans="1:8" x14ac:dyDescent="0.25">
      <c r="A11" t="s">
        <v>14</v>
      </c>
      <c r="B11">
        <v>23.21</v>
      </c>
      <c r="C11">
        <v>2.98</v>
      </c>
      <c r="D11">
        <v>1.27</v>
      </c>
      <c r="E11">
        <v>0.52</v>
      </c>
      <c r="F11">
        <v>0.26</v>
      </c>
      <c r="H11">
        <v>0.03</v>
      </c>
    </row>
    <row r="12" spans="1:8" x14ac:dyDescent="0.25">
      <c r="A12" t="s">
        <v>15</v>
      </c>
      <c r="B12">
        <v>22.01</v>
      </c>
      <c r="C12">
        <v>3.77</v>
      </c>
      <c r="D12">
        <v>1.24</v>
      </c>
      <c r="E12">
        <v>1.02</v>
      </c>
      <c r="F12">
        <v>0.35</v>
      </c>
      <c r="H12">
        <v>0.25</v>
      </c>
    </row>
    <row r="13" spans="1:8" x14ac:dyDescent="0.25">
      <c r="A13" t="s">
        <v>16</v>
      </c>
      <c r="B13">
        <v>27.98</v>
      </c>
      <c r="C13">
        <v>5.36</v>
      </c>
      <c r="D13">
        <v>0.95</v>
      </c>
      <c r="E13">
        <v>0.61</v>
      </c>
      <c r="F13">
        <v>0.21</v>
      </c>
      <c r="H13">
        <v>0.04</v>
      </c>
    </row>
    <row r="14" spans="1:8" x14ac:dyDescent="0.25">
      <c r="A14" s="1" t="s">
        <v>20</v>
      </c>
      <c r="B14" s="2">
        <f>AVERAGE(B2:B13)</f>
        <v>25.411666666666665</v>
      </c>
      <c r="C14" s="2">
        <f>AVERAGE(C2:C13)</f>
        <v>3.6658333333333331</v>
      </c>
      <c r="D14" s="2">
        <f t="shared" ref="D14:H14" si="0">AVERAGE(D2:D13)</f>
        <v>0.91416666666666657</v>
      </c>
      <c r="E14" s="2">
        <f t="shared" si="0"/>
        <v>0.40833333333333338</v>
      </c>
      <c r="F14" s="2">
        <f t="shared" si="0"/>
        <v>0.22416666666666665</v>
      </c>
      <c r="G14" s="2"/>
      <c r="H14" s="2">
        <f t="shared" si="0"/>
        <v>8.3333333333333329E-2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B0E5-F12D-40A9-981A-8B178D1987F5}">
  <dimension ref="A1:G13"/>
  <sheetViews>
    <sheetView tabSelected="1" workbookViewId="0">
      <selection activeCell="G2" sqref="G2:G13"/>
    </sheetView>
  </sheetViews>
  <sheetFormatPr defaultRowHeight="15" x14ac:dyDescent="0.25"/>
  <cols>
    <col min="1" max="1" width="12.140625" customWidth="1"/>
    <col min="2" max="2" width="19.7109375" customWidth="1"/>
    <col min="3" max="3" width="13.28515625" customWidth="1"/>
    <col min="4" max="4" width="11.7109375" customWidth="1"/>
    <col min="5" max="5" width="14.5703125" customWidth="1"/>
    <col min="6" max="6" width="9.7109375" bestFit="1" customWidth="1"/>
    <col min="7" max="7" width="12" bestFit="1" customWidth="1"/>
  </cols>
  <sheetData>
    <row r="1" spans="1:7" x14ac:dyDescent="0.25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spans="1:7" x14ac:dyDescent="0.25">
      <c r="A2" t="s">
        <v>5</v>
      </c>
      <c r="B2">
        <v>77.31</v>
      </c>
      <c r="C2">
        <v>53.19</v>
      </c>
      <c r="D2">
        <v>1.23</v>
      </c>
      <c r="E2">
        <v>6.29</v>
      </c>
      <c r="F2">
        <f>(B2/100)*E2-E2</f>
        <v>-1.4272010000000002</v>
      </c>
      <c r="G2">
        <f>(100-B2)/100/(0-F2)</f>
        <v>0.15898251192368837</v>
      </c>
    </row>
    <row r="3" spans="1:7" x14ac:dyDescent="0.25">
      <c r="A3" t="s">
        <v>6</v>
      </c>
      <c r="B3">
        <v>80.58</v>
      </c>
      <c r="C3">
        <v>48.02</v>
      </c>
      <c r="D3">
        <v>2.44</v>
      </c>
      <c r="E3">
        <v>5.08</v>
      </c>
      <c r="F3">
        <f t="shared" ref="F3:F13" si="0">(B3/100)*E3-E3</f>
        <v>-0.98653600000000008</v>
      </c>
      <c r="G3">
        <f t="shared" ref="G3:G13" si="1">(100-B3)/100/(0-F3)</f>
        <v>0.19685039370078738</v>
      </c>
    </row>
    <row r="4" spans="1:7" x14ac:dyDescent="0.25">
      <c r="A4" t="s">
        <v>7</v>
      </c>
      <c r="B4">
        <v>85.87</v>
      </c>
      <c r="C4">
        <v>57.64</v>
      </c>
      <c r="D4">
        <v>2.31</v>
      </c>
      <c r="E4">
        <v>6.7</v>
      </c>
      <c r="F4">
        <f t="shared" si="0"/>
        <v>-0.9467099999999995</v>
      </c>
      <c r="G4">
        <f t="shared" si="1"/>
        <v>0.14925373134328362</v>
      </c>
    </row>
    <row r="5" spans="1:7" x14ac:dyDescent="0.25">
      <c r="A5" t="s">
        <v>8</v>
      </c>
      <c r="B5">
        <v>80.69</v>
      </c>
      <c r="C5">
        <v>65.11</v>
      </c>
      <c r="D5">
        <v>0.89</v>
      </c>
      <c r="E5">
        <v>7.05</v>
      </c>
      <c r="F5">
        <f t="shared" si="0"/>
        <v>-1.3613550000000005</v>
      </c>
      <c r="G5">
        <f t="shared" si="1"/>
        <v>0.14184397163120563</v>
      </c>
    </row>
    <row r="6" spans="1:7" x14ac:dyDescent="0.25">
      <c r="A6" t="s">
        <v>9</v>
      </c>
      <c r="B6">
        <v>76.39</v>
      </c>
      <c r="C6">
        <v>53.21</v>
      </c>
      <c r="D6">
        <v>1.91</v>
      </c>
      <c r="E6">
        <v>4.8</v>
      </c>
      <c r="F6">
        <f t="shared" si="0"/>
        <v>-1.1332800000000001</v>
      </c>
      <c r="G6">
        <f t="shared" si="1"/>
        <v>0.20833333333333331</v>
      </c>
    </row>
    <row r="7" spans="1:7" x14ac:dyDescent="0.25">
      <c r="A7" t="s">
        <v>10</v>
      </c>
      <c r="B7">
        <v>78.25</v>
      </c>
      <c r="C7">
        <v>65.180000000000007</v>
      </c>
      <c r="D7">
        <v>1.62</v>
      </c>
      <c r="E7">
        <v>5.01</v>
      </c>
      <c r="F7">
        <f t="shared" si="0"/>
        <v>-1.0896750000000002</v>
      </c>
      <c r="G7">
        <f t="shared" si="1"/>
        <v>0.19960079840319359</v>
      </c>
    </row>
    <row r="8" spans="1:7" x14ac:dyDescent="0.25">
      <c r="A8" t="s">
        <v>11</v>
      </c>
      <c r="B8">
        <v>78.17</v>
      </c>
      <c r="C8">
        <v>53.62</v>
      </c>
      <c r="D8">
        <v>1.1299999999999999</v>
      </c>
      <c r="E8">
        <v>4.6500000000000004</v>
      </c>
      <c r="F8">
        <f t="shared" si="0"/>
        <v>-1.0150949999999996</v>
      </c>
      <c r="G8">
        <f t="shared" si="1"/>
        <v>0.21505376344086027</v>
      </c>
    </row>
    <row r="9" spans="1:7" x14ac:dyDescent="0.25">
      <c r="A9" t="s">
        <v>12</v>
      </c>
      <c r="B9">
        <v>66.209999999999994</v>
      </c>
      <c r="C9">
        <v>33.130000000000003</v>
      </c>
      <c r="D9">
        <v>1.22</v>
      </c>
      <c r="E9">
        <v>3.01</v>
      </c>
      <c r="F9">
        <f t="shared" si="0"/>
        <v>-1.0170790000000003</v>
      </c>
      <c r="G9">
        <f t="shared" si="1"/>
        <v>0.33222591362126247</v>
      </c>
    </row>
    <row r="10" spans="1:7" x14ac:dyDescent="0.25">
      <c r="A10" t="s">
        <v>13</v>
      </c>
      <c r="B10">
        <v>77.14</v>
      </c>
      <c r="C10">
        <v>37.75</v>
      </c>
      <c r="D10">
        <v>1.88</v>
      </c>
      <c r="E10">
        <v>7.17</v>
      </c>
      <c r="F10">
        <f t="shared" si="0"/>
        <v>-1.639062</v>
      </c>
      <c r="G10">
        <f t="shared" si="1"/>
        <v>0.1394700139470014</v>
      </c>
    </row>
    <row r="11" spans="1:7" x14ac:dyDescent="0.25">
      <c r="A11" t="s">
        <v>14</v>
      </c>
      <c r="B11">
        <v>83.03</v>
      </c>
      <c r="C11">
        <v>58.48</v>
      </c>
      <c r="D11">
        <v>1.43</v>
      </c>
      <c r="E11">
        <v>8.25</v>
      </c>
      <c r="F11">
        <f t="shared" si="0"/>
        <v>-1.4000249999999994</v>
      </c>
      <c r="G11">
        <f t="shared" si="1"/>
        <v>0.12121212121212126</v>
      </c>
    </row>
    <row r="12" spans="1:7" x14ac:dyDescent="0.25">
      <c r="A12" t="s">
        <v>15</v>
      </c>
      <c r="B12">
        <v>85.1</v>
      </c>
      <c r="C12">
        <v>53.99</v>
      </c>
      <c r="D12">
        <v>2.27</v>
      </c>
      <c r="E12">
        <v>7.14</v>
      </c>
      <c r="F12">
        <f t="shared" si="0"/>
        <v>-1.06386</v>
      </c>
      <c r="G12">
        <f t="shared" si="1"/>
        <v>0.14005602240896362</v>
      </c>
    </row>
    <row r="13" spans="1:7" x14ac:dyDescent="0.25">
      <c r="A13" t="s">
        <v>16</v>
      </c>
      <c r="B13">
        <v>77.91</v>
      </c>
      <c r="C13">
        <v>44.69</v>
      </c>
      <c r="D13">
        <v>1.58</v>
      </c>
      <c r="E13">
        <v>4.47</v>
      </c>
      <c r="F13">
        <f t="shared" si="0"/>
        <v>-0.98742299999999972</v>
      </c>
      <c r="G13">
        <f t="shared" si="1"/>
        <v>0.22371364653243858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Table2_Pawnee_rootstocks_splitS</vt:lpstr>
      <vt:lpstr>Table1_PV_data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Gottlieb</dc:creator>
  <cp:lastModifiedBy>Josh Gottlieb</cp:lastModifiedBy>
  <dcterms:created xsi:type="dcterms:W3CDTF">2026-04-12T17:50:26Z</dcterms:created>
  <dcterms:modified xsi:type="dcterms:W3CDTF">2026-04-20T05:56:14Z</dcterms:modified>
</cp:coreProperties>
</file>