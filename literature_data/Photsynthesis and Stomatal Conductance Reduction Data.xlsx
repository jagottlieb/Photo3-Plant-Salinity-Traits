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eosyntec-my.sharepoint.com/personal/josh_gottlieb_geosyntec_com/Documents/Documents/SourceCode/Photo3-Plant-Salinity-Traits/literature_data/"/>
    </mc:Choice>
  </mc:AlternateContent>
  <xr:revisionPtr revIDLastSave="151" documentId="8_{A221A28E-6D81-423C-BE1B-F549E3B52D22}" xr6:coauthVersionLast="47" xr6:coauthVersionMax="47" xr10:uidLastSave="{1C75FAA5-7510-4515-B581-5A902F91CCEE}"/>
  <bookViews>
    <workbookView minimized="1" xWindow="-22416" yWindow="624" windowWidth="17280" windowHeight="9960" activeTab="1" xr2:uid="{C0AAE20D-2553-4379-8EED-88D25BB078BE}"/>
  </bookViews>
  <sheets>
    <sheet name="Sanchez-Ledema Data" sheetId="1" r:id="rId1"/>
    <sheet name="Campos-Villareal Data" sheetId="3" r:id="rId2"/>
    <sheet name="Photosynthetic Rate Reduct Plot" sheetId="2" r:id="rId3"/>
    <sheet name="Photosynthetic Pct Reduct" sheetId="5" r:id="rId4"/>
    <sheet name="Stomatal Conductance Reduc Plot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" i="3" l="1"/>
  <c r="O4" i="3"/>
  <c r="O5" i="3"/>
  <c r="O3" i="3"/>
  <c r="L14" i="3"/>
  <c r="M14" i="3"/>
  <c r="N14" i="3"/>
  <c r="K14" i="3"/>
  <c r="L13" i="3"/>
  <c r="M13" i="3"/>
  <c r="N13" i="3"/>
  <c r="K13" i="3"/>
  <c r="L12" i="3"/>
  <c r="M12" i="3"/>
  <c r="N12" i="3"/>
  <c r="K12" i="3"/>
  <c r="L11" i="3"/>
  <c r="M11" i="3"/>
  <c r="N11" i="3"/>
  <c r="K11" i="3"/>
  <c r="L6" i="3"/>
  <c r="M6" i="3"/>
  <c r="N6" i="3"/>
  <c r="K6" i="3"/>
  <c r="L5" i="3"/>
  <c r="M5" i="3"/>
  <c r="N5" i="3"/>
  <c r="K5" i="3"/>
  <c r="L4" i="3"/>
  <c r="M4" i="3"/>
  <c r="N4" i="3"/>
  <c r="K4" i="3"/>
  <c r="L3" i="3"/>
  <c r="M3" i="3"/>
  <c r="N3" i="3"/>
  <c r="K3" i="3"/>
  <c r="G2" i="3"/>
  <c r="K2" i="3" s="1"/>
  <c r="J10" i="3"/>
  <c r="I10" i="3"/>
  <c r="M10" i="3" s="1"/>
  <c r="H10" i="3"/>
  <c r="L10" i="3" s="1"/>
  <c r="G10" i="3"/>
  <c r="K10" i="3" s="1"/>
  <c r="J2" i="3"/>
  <c r="N2" i="3" s="1"/>
  <c r="I2" i="3"/>
  <c r="M2" i="3" s="1"/>
  <c r="H2" i="3"/>
  <c r="L2" i="3" s="1"/>
  <c r="N10" i="3"/>
  <c r="I3" i="1"/>
  <c r="I2" i="1"/>
  <c r="E3" i="1"/>
  <c r="E4" i="1"/>
  <c r="E5" i="1"/>
  <c r="E6" i="1"/>
  <c r="E2" i="1"/>
  <c r="H11" i="3"/>
  <c r="I11" i="3"/>
  <c r="J11" i="3"/>
  <c r="H12" i="3"/>
  <c r="I12" i="3"/>
  <c r="J12" i="3"/>
  <c r="H13" i="3"/>
  <c r="I13" i="3"/>
  <c r="J13" i="3"/>
  <c r="H14" i="3"/>
  <c r="I14" i="3"/>
  <c r="J14" i="3"/>
  <c r="G13" i="3"/>
  <c r="G14" i="3"/>
  <c r="G12" i="3"/>
  <c r="G11" i="3"/>
  <c r="H4" i="3"/>
  <c r="I4" i="3"/>
  <c r="J4" i="3"/>
  <c r="H5" i="3"/>
  <c r="I5" i="3"/>
  <c r="J5" i="3"/>
  <c r="H6" i="3"/>
  <c r="I6" i="3"/>
  <c r="J6" i="3"/>
  <c r="G5" i="3"/>
  <c r="G6" i="3"/>
  <c r="G4" i="3"/>
  <c r="H3" i="3"/>
  <c r="I3" i="3"/>
  <c r="J3" i="3"/>
  <c r="G3" i="3"/>
  <c r="H4" i="1"/>
  <c r="I4" i="1" s="1"/>
  <c r="H5" i="1"/>
  <c r="I5" i="1" s="1"/>
  <c r="H6" i="1"/>
  <c r="I6" i="1" s="1"/>
  <c r="H3" i="1"/>
  <c r="D4" i="1"/>
  <c r="D5" i="1"/>
  <c r="D6" i="1"/>
  <c r="D3" i="1"/>
  <c r="B12" i="3"/>
  <c r="B13" i="3"/>
  <c r="B14" i="3"/>
  <c r="B11" i="3"/>
  <c r="B4" i="3"/>
  <c r="B5" i="3"/>
  <c r="B6" i="3"/>
  <c r="B3" i="3"/>
</calcChain>
</file>

<file path=xl/sharedStrings.xml><?xml version="1.0" encoding="utf-8"?>
<sst xmlns="http://schemas.openxmlformats.org/spreadsheetml/2006/main" count="26" uniqueCount="18">
  <si>
    <t>Photosynthesis_uM_m-2_s-1</t>
  </si>
  <si>
    <t>Std_Err_Photosynthesis</t>
  </si>
  <si>
    <t>Stomatal_conductance_M_m-2_s-1</t>
  </si>
  <si>
    <t>Std_Err_Stomatal_Conductance</t>
  </si>
  <si>
    <t>Transpiration_mM_m-2_s-1</t>
  </si>
  <si>
    <t>Std_Err_Transpiration</t>
  </si>
  <si>
    <t>Salinity (dS·m⁻¹)</t>
  </si>
  <si>
    <t>Apache</t>
  </si>
  <si>
    <t>Riverside</t>
  </si>
  <si>
    <t>SVA1</t>
  </si>
  <si>
    <t>SVA2</t>
  </si>
  <si>
    <t>Salinity(mMol) (Approximate)</t>
  </si>
  <si>
    <t>Stomatal Conductance (mol H2O/m2/s</t>
  </si>
  <si>
    <t>Photosynthesis (umol CO2/m2/s)</t>
  </si>
  <si>
    <t>Percent_Baseline</t>
  </si>
  <si>
    <t>Percent_Reduction</t>
  </si>
  <si>
    <t>Percent_Reduction_Avg</t>
  </si>
  <si>
    <t>Soil_Salt_Concentration_mol_m3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</si>
</sst>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1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1" fillId="3" borderId="0" xfId="0" applyFont="1" applyFill="1"/>
    <xf numFmtId="0" fontId="0" fillId="3" borderId="0" xfId="0" applyFill="1"/>
    <xf numFmtId="164" fontId="0" fillId="0" borderId="0" xfId="0" applyNumberFormat="1"/>
    <xf numFmtId="0" fontId="1" fillId="0" borderId="0" xfId="0" applyFont="1" applyAlignment="1">
      <alignment vertical="center"/>
    </xf>
    <xf numFmtId="0" fontId="0" fillId="4" borderId="0" xfId="0" applyFill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chartsheet" Target="chartsheets/sheet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chartsheet" Target="chartsheets/sheet3.xml"/><Relationship Id="rId4" Type="http://schemas.openxmlformats.org/officeDocument/2006/relationships/chartsheet" Target="chartsheets/sheet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280768721181425E-2"/>
          <c:y val="7.4490740740740746E-2"/>
          <c:w val="0.8585149634768745"/>
          <c:h val="0.79728687884317884"/>
        </c:manualLayout>
      </c:layout>
      <c:scatterChart>
        <c:scatterStyle val="lineMarker"/>
        <c:varyColors val="0"/>
        <c:ser>
          <c:idx val="0"/>
          <c:order val="0"/>
          <c:tx>
            <c:v>Unpecified Cultivar (Treated with microrhizal fungi)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'Sanchez-Ledema Data'!$C$2:$C$6</c:f>
                <c:numCache>
                  <c:formatCode>General</c:formatCode>
                  <c:ptCount val="5"/>
                  <c:pt idx="0">
                    <c:v>0.56999999999999995</c:v>
                  </c:pt>
                  <c:pt idx="1">
                    <c:v>0.18</c:v>
                  </c:pt>
                  <c:pt idx="2">
                    <c:v>0.08</c:v>
                  </c:pt>
                  <c:pt idx="3">
                    <c:v>0.3</c:v>
                  </c:pt>
                  <c:pt idx="4">
                    <c:v>0.63</c:v>
                  </c:pt>
                </c:numCache>
              </c:numRef>
            </c:plus>
            <c:minus>
              <c:numRef>
                <c:f>'Sanchez-Ledema Data'!$C$2:$C$6</c:f>
                <c:numCache>
                  <c:formatCode>General</c:formatCode>
                  <c:ptCount val="5"/>
                  <c:pt idx="0">
                    <c:v>0.56999999999999995</c:v>
                  </c:pt>
                  <c:pt idx="1">
                    <c:v>0.18</c:v>
                  </c:pt>
                  <c:pt idx="2">
                    <c:v>0.08</c:v>
                  </c:pt>
                  <c:pt idx="3">
                    <c:v>0.3</c:v>
                  </c:pt>
                  <c:pt idx="4">
                    <c:v>0.63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'Sanchez-Ledema Data'!$A$2:$A$6</c:f>
              <c:numCache>
                <c:formatCode>General</c:formatCode>
                <c:ptCount val="5"/>
                <c:pt idx="0">
                  <c:v>0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</c:numCache>
            </c:numRef>
          </c:xVal>
          <c:yVal>
            <c:numRef>
              <c:f>'Sanchez-Ledema Data'!$B$2:$B$6</c:f>
              <c:numCache>
                <c:formatCode>General</c:formatCode>
                <c:ptCount val="5"/>
                <c:pt idx="0">
                  <c:v>7</c:v>
                </c:pt>
                <c:pt idx="1">
                  <c:v>6</c:v>
                </c:pt>
                <c:pt idx="2">
                  <c:v>5.0999999999999996</c:v>
                </c:pt>
                <c:pt idx="3">
                  <c:v>4.8</c:v>
                </c:pt>
                <c:pt idx="4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39-4AA1-8FE1-F62C1FB0C248}"/>
            </c:ext>
          </c:extLst>
        </c:ser>
        <c:ser>
          <c:idx val="1"/>
          <c:order val="1"/>
          <c:tx>
            <c:v>Apache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'Campos-Villareal Data'!$B$3:$B$6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Data'!$C$11:$C$14</c:f>
              <c:numCache>
                <c:formatCode>General</c:formatCode>
                <c:ptCount val="4"/>
                <c:pt idx="0">
                  <c:v>5.2</c:v>
                </c:pt>
                <c:pt idx="1">
                  <c:v>3.7</c:v>
                </c:pt>
                <c:pt idx="2">
                  <c:v>2.6</c:v>
                </c:pt>
                <c:pt idx="3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98-46D4-A30B-1BCDDD6F9ADC}"/>
            </c:ext>
          </c:extLst>
        </c:ser>
        <c:ser>
          <c:idx val="2"/>
          <c:order val="2"/>
          <c:tx>
            <c:v>Riverside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Data'!$D$11:$D$14</c:f>
              <c:numCache>
                <c:formatCode>General</c:formatCode>
                <c:ptCount val="4"/>
                <c:pt idx="0">
                  <c:v>5.3</c:v>
                </c:pt>
                <c:pt idx="1">
                  <c:v>4.3</c:v>
                </c:pt>
                <c:pt idx="2">
                  <c:v>3.7</c:v>
                </c:pt>
                <c:pt idx="3">
                  <c:v>3.7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098-46D4-A30B-1BCDDD6F9ADC}"/>
            </c:ext>
          </c:extLst>
        </c:ser>
        <c:ser>
          <c:idx val="3"/>
          <c:order val="3"/>
          <c:tx>
            <c:v>SVA1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Data'!$E$11:$E$14</c:f>
              <c:numCache>
                <c:formatCode>General</c:formatCode>
                <c:ptCount val="4"/>
                <c:pt idx="0">
                  <c:v>5.2</c:v>
                </c:pt>
                <c:pt idx="1">
                  <c:v>4.7</c:v>
                </c:pt>
                <c:pt idx="2">
                  <c:v>3.9</c:v>
                </c:pt>
                <c:pt idx="3">
                  <c:v>2.9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098-46D4-A30B-1BCDDD6F9ADC}"/>
            </c:ext>
          </c:extLst>
        </c:ser>
        <c:ser>
          <c:idx val="4"/>
          <c:order val="4"/>
          <c:tx>
            <c:v>SVA2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Data'!$F$11:$F$14</c:f>
              <c:numCache>
                <c:formatCode>General</c:formatCode>
                <c:ptCount val="4"/>
                <c:pt idx="0">
                  <c:v>4.3</c:v>
                </c:pt>
                <c:pt idx="1">
                  <c:v>4</c:v>
                </c:pt>
                <c:pt idx="2">
                  <c:v>2.7</c:v>
                </c:pt>
                <c:pt idx="3">
                  <c:v>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098-46D4-A30B-1BCDDD6F9A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268128"/>
        <c:axId val="971277248"/>
      </c:scatterChart>
      <c:valAx>
        <c:axId val="971268128"/>
        <c:scaling>
          <c:orientation val="minMax"/>
          <c:max val="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NaCl (mol</a:t>
                </a:r>
                <a:r>
                  <a:rPr lang="en-US" baseline="0"/>
                  <a:t> </a:t>
                </a:r>
                <a:r>
                  <a:rPr lang="en-US"/>
                  <a:t>m</a:t>
                </a:r>
                <a:r>
                  <a:rPr lang="en-US" baseline="30000"/>
                  <a:t>-3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77248"/>
        <c:crosses val="autoZero"/>
        <c:crossBetween val="midCat"/>
      </c:valAx>
      <c:valAx>
        <c:axId val="9712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Photosynthetic Rate (µmol m</a:t>
                </a:r>
                <a:r>
                  <a:rPr lang="en-US" baseline="30000"/>
                  <a:t>-2</a:t>
                </a:r>
                <a:r>
                  <a:rPr lang="en-US" baseline="0"/>
                  <a:t> s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68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0.10914005941564997"/>
          <c:y val="0.46674484415803635"/>
          <c:w val="0.17669752819359119"/>
          <c:h val="0.40715175105003421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280768721181425E-2"/>
          <c:y val="7.4490740740740746E-2"/>
          <c:w val="0.8585149634768745"/>
          <c:h val="0.79728687884317884"/>
        </c:manualLayout>
      </c:layout>
      <c:scatterChart>
        <c:scatterStyle val="lineMarker"/>
        <c:varyColors val="0"/>
        <c:ser>
          <c:idx val="0"/>
          <c:order val="0"/>
          <c:tx>
            <c:v>Unpecified Cultivar (Treated with microrhizal fungi)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errBars>
            <c:errDir val="y"/>
            <c:errBarType val="both"/>
            <c:errValType val="cust"/>
            <c:noEndCap val="0"/>
            <c:plus>
              <c:numRef>
                <c:f>'Sanchez-Ledema Data'!$C$2:$C$6</c:f>
                <c:numCache>
                  <c:formatCode>General</c:formatCode>
                  <c:ptCount val="5"/>
                  <c:pt idx="0">
                    <c:v>0.56999999999999995</c:v>
                  </c:pt>
                  <c:pt idx="1">
                    <c:v>0.18</c:v>
                  </c:pt>
                  <c:pt idx="2">
                    <c:v>0.08</c:v>
                  </c:pt>
                  <c:pt idx="3">
                    <c:v>0.3</c:v>
                  </c:pt>
                  <c:pt idx="4">
                    <c:v>0.63</c:v>
                  </c:pt>
                </c:numCache>
              </c:numRef>
            </c:plus>
            <c:minus>
              <c:numRef>
                <c:f>'Sanchez-Ledema Data'!$C$2:$C$6</c:f>
                <c:numCache>
                  <c:formatCode>General</c:formatCode>
                  <c:ptCount val="5"/>
                  <c:pt idx="0">
                    <c:v>0.56999999999999995</c:v>
                  </c:pt>
                  <c:pt idx="1">
                    <c:v>0.18</c:v>
                  </c:pt>
                  <c:pt idx="2">
                    <c:v>0.08</c:v>
                  </c:pt>
                  <c:pt idx="3">
                    <c:v>0.3</c:v>
                  </c:pt>
                  <c:pt idx="4">
                    <c:v>0.63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'Sanchez-Ledema Data'!$A$2:$A$6</c:f>
              <c:numCache>
                <c:formatCode>General</c:formatCode>
                <c:ptCount val="5"/>
                <c:pt idx="0">
                  <c:v>0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</c:numCache>
            </c:numRef>
          </c:xVal>
          <c:yVal>
            <c:numRef>
              <c:f>'Sanchez-Ledema Data'!$E$2:$E$6</c:f>
              <c:numCache>
                <c:formatCode>0.000</c:formatCode>
                <c:ptCount val="5"/>
                <c:pt idx="0">
                  <c:v>0</c:v>
                </c:pt>
                <c:pt idx="1">
                  <c:v>0.14285714285714279</c:v>
                </c:pt>
                <c:pt idx="2">
                  <c:v>0.27142857142857146</c:v>
                </c:pt>
                <c:pt idx="3">
                  <c:v>0.31428571428571428</c:v>
                </c:pt>
                <c:pt idx="4">
                  <c:v>0.4285714285714286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9F2-4EB8-811D-49B40C5758E9}"/>
            </c:ext>
          </c:extLst>
        </c:ser>
        <c:ser>
          <c:idx val="1"/>
          <c:order val="1"/>
          <c:tx>
            <c:v>Apache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'Campos-Villareal Data'!$B$3:$B$6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Data'!$K$11:$K$14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0.28846153846153844</c:v>
                </c:pt>
                <c:pt idx="2">
                  <c:v>0.5</c:v>
                </c:pt>
                <c:pt idx="3">
                  <c:v>0.65384615384615385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9F2-4EB8-811D-49B40C5758E9}"/>
            </c:ext>
          </c:extLst>
        </c:ser>
        <c:ser>
          <c:idx val="2"/>
          <c:order val="2"/>
          <c:tx>
            <c:v>Riverside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Data'!$L$11:$L$14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0.18867924528301883</c:v>
                </c:pt>
                <c:pt idx="2">
                  <c:v>0.30188679245283012</c:v>
                </c:pt>
                <c:pt idx="3">
                  <c:v>0.30188679245283012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9F2-4EB8-811D-49B40C5758E9}"/>
            </c:ext>
          </c:extLst>
        </c:ser>
        <c:ser>
          <c:idx val="3"/>
          <c:order val="3"/>
          <c:tx>
            <c:v>SVA1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Data'!$M$11:$M$14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9.6153846153846145E-2</c:v>
                </c:pt>
                <c:pt idx="2">
                  <c:v>0.25</c:v>
                </c:pt>
                <c:pt idx="3">
                  <c:v>0.44230769230769229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9F2-4EB8-811D-49B40C5758E9}"/>
            </c:ext>
          </c:extLst>
        </c:ser>
        <c:ser>
          <c:idx val="4"/>
          <c:order val="4"/>
          <c:tx>
            <c:v>SVA2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Data'!$N$11:$N$14</c:f>
              <c:numCache>
                <c:formatCode>0.000</c:formatCode>
                <c:ptCount val="4"/>
                <c:pt idx="0" formatCode="General">
                  <c:v>0</c:v>
                </c:pt>
                <c:pt idx="1">
                  <c:v>6.9767441860465018E-2</c:v>
                </c:pt>
                <c:pt idx="2">
                  <c:v>0.37209302325581395</c:v>
                </c:pt>
                <c:pt idx="3">
                  <c:v>0.39534883720930236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9F2-4EB8-811D-49B40C5758E9}"/>
            </c:ext>
          </c:extLst>
        </c:ser>
        <c:ser>
          <c:idx val="5"/>
          <c:order val="5"/>
          <c:tx>
            <c:v>Average From Campos-Villareal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'Campos-Villareal Data'!$B$3:$B$6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Data'!$O$3:$O$6</c:f>
              <c:numCache>
                <c:formatCode>0.000</c:formatCode>
                <c:ptCount val="4"/>
                <c:pt idx="0">
                  <c:v>0</c:v>
                </c:pt>
                <c:pt idx="1">
                  <c:v>0.23659766859836692</c:v>
                </c:pt>
                <c:pt idx="2">
                  <c:v>0.46897776445941036</c:v>
                </c:pt>
                <c:pt idx="3">
                  <c:v>0.63109278849238792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C9F2-4EB8-811D-49B40C575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268128"/>
        <c:axId val="971277248"/>
      </c:scatterChart>
      <c:valAx>
        <c:axId val="971268128"/>
        <c:scaling>
          <c:orientation val="minMax"/>
          <c:max val="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NaCl (mol</a:t>
                </a:r>
                <a:r>
                  <a:rPr lang="en-US" baseline="0"/>
                  <a:t> </a:t>
                </a:r>
                <a:r>
                  <a:rPr lang="en-US"/>
                  <a:t>m</a:t>
                </a:r>
                <a:r>
                  <a:rPr lang="en-US" baseline="30000"/>
                  <a:t>-3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77248"/>
        <c:crosses val="autoZero"/>
        <c:crossBetween val="midCat"/>
      </c:valAx>
      <c:valAx>
        <c:axId val="97127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Photosynthetic Rate (µmol m</a:t>
                </a:r>
                <a:r>
                  <a:rPr lang="en-US" baseline="30000"/>
                  <a:t>-2</a:t>
                </a:r>
                <a:r>
                  <a:rPr lang="en-US" baseline="0"/>
                  <a:t> s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68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6"/>
        <c:delete val="1"/>
      </c:legendEntry>
      <c:legendEntry>
        <c:idx val="7"/>
        <c:delete val="1"/>
      </c:legendEntry>
      <c:layout>
        <c:manualLayout>
          <c:xMode val="edge"/>
          <c:yMode val="edge"/>
          <c:x val="0.10180062125261866"/>
          <c:y val="2.2860859290444964E-2"/>
          <c:w val="0.32090413927616845"/>
          <c:h val="0.4199279125418276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8280768721181425E-2"/>
          <c:y val="7.4490740740740746E-2"/>
          <c:w val="0.8585149634768745"/>
          <c:h val="0.79728687884317884"/>
        </c:manualLayout>
      </c:layout>
      <c:scatterChart>
        <c:scatterStyle val="lineMarker"/>
        <c:varyColors val="0"/>
        <c:ser>
          <c:idx val="0"/>
          <c:order val="0"/>
          <c:tx>
            <c:v>Unpecified Cultivar (Treated with microrhizal fungi)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errBars>
            <c:errDir val="x"/>
            <c:errBarType val="both"/>
            <c:errValType val="stdErr"/>
            <c:noEndCap val="0"/>
            <c:spPr>
              <a:noFill/>
              <a:ln w="9525" cap="flat" cmpd="sng" algn="ctr">
                <a:noFill/>
                <a:round/>
              </a:ln>
              <a:effectLst/>
            </c:spPr>
          </c:errBars>
          <c:xVal>
            <c:numRef>
              <c:f>'Sanchez-Ledema Data'!$A$2:$A$6</c:f>
              <c:numCache>
                <c:formatCode>General</c:formatCode>
                <c:ptCount val="5"/>
                <c:pt idx="0">
                  <c:v>0</c:v>
                </c:pt>
                <c:pt idx="1">
                  <c:v>20</c:v>
                </c:pt>
                <c:pt idx="2">
                  <c:v>25</c:v>
                </c:pt>
                <c:pt idx="3">
                  <c:v>30</c:v>
                </c:pt>
                <c:pt idx="4">
                  <c:v>35</c:v>
                </c:pt>
              </c:numCache>
            </c:numRef>
          </c:xVal>
          <c:yVal>
            <c:numRef>
              <c:f>'Sanchez-Ledema Data'!$F$2:$F$6</c:f>
              <c:numCache>
                <c:formatCode>General</c:formatCode>
                <c:ptCount val="5"/>
                <c:pt idx="0">
                  <c:v>0.08</c:v>
                </c:pt>
                <c:pt idx="1">
                  <c:v>0.08</c:v>
                </c:pt>
                <c:pt idx="2">
                  <c:v>7.0000000000000007E-2</c:v>
                </c:pt>
                <c:pt idx="3">
                  <c:v>0.05</c:v>
                </c:pt>
                <c:pt idx="4">
                  <c:v>0.05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975-4095-9B93-C27C23727ED3}"/>
            </c:ext>
          </c:extLst>
        </c:ser>
        <c:ser>
          <c:idx val="1"/>
          <c:order val="1"/>
          <c:tx>
            <c:v>Apache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'Campos-Villareal Data'!$B$3:$B$6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Data'!$C$3:$C$6</c:f>
              <c:numCache>
                <c:formatCode>General</c:formatCode>
                <c:ptCount val="4"/>
                <c:pt idx="0">
                  <c:v>2.12E-2</c:v>
                </c:pt>
                <c:pt idx="1">
                  <c:v>2.8500000000000001E-2</c:v>
                </c:pt>
                <c:pt idx="2">
                  <c:v>1.8100000000000002E-2</c:v>
                </c:pt>
                <c:pt idx="3">
                  <c:v>9.9000000000000008E-3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975-4095-9B93-C27C23727ED3}"/>
            </c:ext>
          </c:extLst>
        </c:ser>
        <c:ser>
          <c:idx val="2"/>
          <c:order val="2"/>
          <c:tx>
            <c:v>Riverside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Data'!$D$3:$D$6</c:f>
              <c:numCache>
                <c:formatCode>General</c:formatCode>
                <c:ptCount val="4"/>
                <c:pt idx="0">
                  <c:v>3.3300000000000003E-2</c:v>
                </c:pt>
                <c:pt idx="1">
                  <c:v>1.49E-2</c:v>
                </c:pt>
                <c:pt idx="2">
                  <c:v>8.3000000000000001E-3</c:v>
                </c:pt>
                <c:pt idx="3">
                  <c:v>7.1999999999999998E-3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975-4095-9B93-C27C23727ED3}"/>
            </c:ext>
          </c:extLst>
        </c:ser>
        <c:ser>
          <c:idx val="3"/>
          <c:order val="3"/>
          <c:tx>
            <c:v>SVA1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Data'!$E$3:$E$6</c:f>
              <c:numCache>
                <c:formatCode>General</c:formatCode>
                <c:ptCount val="4"/>
                <c:pt idx="0">
                  <c:v>1.7899999999999999E-2</c:v>
                </c:pt>
                <c:pt idx="1">
                  <c:v>1.41E-2</c:v>
                </c:pt>
                <c:pt idx="2">
                  <c:v>9.7000000000000003E-3</c:v>
                </c:pt>
                <c:pt idx="3">
                  <c:v>6.3E-3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975-4095-9B93-C27C23727ED3}"/>
            </c:ext>
          </c:extLst>
        </c:ser>
        <c:ser>
          <c:idx val="4"/>
          <c:order val="4"/>
          <c:tx>
            <c:v>SVA2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'Campos-Villareal Data'!$B$11:$B$14</c:f>
              <c:numCache>
                <c:formatCode>General</c:formatCode>
                <c:ptCount val="4"/>
                <c:pt idx="0">
                  <c:v>0.8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</c:numCache>
            </c:numRef>
          </c:xVal>
          <c:yVal>
            <c:numRef>
              <c:f>'Campos-Villareal Data'!$F$3:$F$6</c:f>
              <c:numCache>
                <c:formatCode>General</c:formatCode>
                <c:ptCount val="4"/>
                <c:pt idx="0">
                  <c:v>3.3599999999999998E-2</c:v>
                </c:pt>
                <c:pt idx="1">
                  <c:v>2.75E-2</c:v>
                </c:pt>
                <c:pt idx="2">
                  <c:v>1.61E-2</c:v>
                </c:pt>
                <c:pt idx="3">
                  <c:v>1.4800000000000001E-2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9975-4095-9B93-C27C23727E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1268128"/>
        <c:axId val="971277248"/>
      </c:scatterChart>
      <c:valAx>
        <c:axId val="971268128"/>
        <c:scaling>
          <c:orientation val="minMax"/>
          <c:max val="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NaCl (mol</a:t>
                </a:r>
                <a:r>
                  <a:rPr lang="en-US" baseline="0"/>
                  <a:t> </a:t>
                </a:r>
                <a:r>
                  <a:rPr lang="en-US"/>
                  <a:t>m</a:t>
                </a:r>
                <a:r>
                  <a:rPr lang="en-US" baseline="30000"/>
                  <a:t>-3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77248"/>
        <c:crosses val="autoZero"/>
        <c:crossBetween val="midCat"/>
      </c:valAx>
      <c:valAx>
        <c:axId val="971277248"/>
        <c:scaling>
          <c:orientation val="minMax"/>
          <c:max val="0.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Photosynthetic Rate (µmol m</a:t>
                </a:r>
                <a:r>
                  <a:rPr lang="en-US" baseline="30000"/>
                  <a:t>-2</a:t>
                </a:r>
                <a:r>
                  <a:rPr lang="en-US" baseline="0"/>
                  <a:t> s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1268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5"/>
        <c:delete val="1"/>
      </c:legendEntry>
      <c:legendEntry>
        <c:idx val="6"/>
        <c:delete val="1"/>
      </c:legendEntry>
      <c:layout>
        <c:manualLayout>
          <c:xMode val="edge"/>
          <c:yMode val="edge"/>
          <c:x val="0.76025381442704287"/>
          <c:y val="7.7382609645421055E-2"/>
          <c:w val="0.18360849124628656"/>
          <c:h val="0.33195877312309485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A1FAB655-0C0B-413A-A9B0-46A99E816DBB}">
  <sheetPr/>
  <sheetViews>
    <sheetView zoomScale="120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39FB0062-9897-4F66-9A19-B87040357B96}">
  <sheetPr/>
  <sheetViews>
    <sheetView zoomScale="120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2A2ABC2-1C74-41CC-81A7-FE7ED90D92C9}">
  <sheetPr/>
  <sheetViews>
    <sheetView zoomScale="120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6921500" cy="50355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A66CAE-5D06-8BBE-E35A-38D8A13131A7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6921500" cy="50355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4BF6B27-6D36-C9BA-ABFE-1BF628FB315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6921500" cy="50355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1E06AD-FA17-BBE0-41FB-5B41F3822A2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83E70-C9D7-4FE3-9E6B-A83E623DF4AC}">
  <dimension ref="A1:K6"/>
  <sheetViews>
    <sheetView workbookViewId="0">
      <selection activeCell="B16" sqref="B16"/>
    </sheetView>
  </sheetViews>
  <sheetFormatPr defaultRowHeight="15" x14ac:dyDescent="0.25"/>
  <cols>
    <col min="1" max="1" width="44.5703125" customWidth="1"/>
    <col min="2" max="2" width="26.42578125" bestFit="1" customWidth="1"/>
    <col min="3" max="3" width="21.7109375" bestFit="1" customWidth="1"/>
    <col min="4" max="5" width="21.7109375" customWidth="1"/>
    <col min="6" max="6" width="32.140625" bestFit="1" customWidth="1"/>
    <col min="7" max="7" width="28.7109375" bestFit="1" customWidth="1"/>
    <col min="8" max="9" width="32.140625" customWidth="1"/>
    <col min="10" max="10" width="32.140625" bestFit="1" customWidth="1"/>
    <col min="11" max="11" width="20.140625" bestFit="1" customWidth="1"/>
  </cols>
  <sheetData>
    <row r="1" spans="1:11" x14ac:dyDescent="0.25">
      <c r="A1" t="s">
        <v>17</v>
      </c>
      <c r="B1" s="8" t="s">
        <v>0</v>
      </c>
      <c r="C1" s="8" t="s">
        <v>1</v>
      </c>
      <c r="D1" s="8" t="s">
        <v>14</v>
      </c>
      <c r="E1" s="8" t="s">
        <v>15</v>
      </c>
      <c r="F1" t="s">
        <v>2</v>
      </c>
      <c r="G1" t="s">
        <v>3</v>
      </c>
      <c r="H1" t="s">
        <v>14</v>
      </c>
      <c r="I1" t="s">
        <v>15</v>
      </c>
      <c r="J1" t="s">
        <v>4</v>
      </c>
      <c r="K1" t="s">
        <v>5</v>
      </c>
    </row>
    <row r="2" spans="1:11" x14ac:dyDescent="0.25">
      <c r="A2">
        <v>0</v>
      </c>
      <c r="B2">
        <v>7</v>
      </c>
      <c r="C2">
        <v>0.56999999999999995</v>
      </c>
      <c r="D2" s="6">
        <v>1</v>
      </c>
      <c r="E2" s="6">
        <f>1-D2</f>
        <v>0</v>
      </c>
      <c r="F2">
        <v>0.08</v>
      </c>
      <c r="G2">
        <v>7.0000000000000001E-3</v>
      </c>
      <c r="H2" s="6">
        <v>1</v>
      </c>
      <c r="I2" s="6">
        <f>1-H2</f>
        <v>0</v>
      </c>
      <c r="J2">
        <v>2.1800000000000002</v>
      </c>
      <c r="K2">
        <v>0.24</v>
      </c>
    </row>
    <row r="3" spans="1:11" x14ac:dyDescent="0.25">
      <c r="A3">
        <v>20</v>
      </c>
      <c r="B3">
        <v>6</v>
      </c>
      <c r="C3">
        <v>0.18</v>
      </c>
      <c r="D3" s="6">
        <f>1-($B$2-B3)/$B$2</f>
        <v>0.85714285714285721</v>
      </c>
      <c r="E3" s="6">
        <f t="shared" ref="E3:E6" si="0">1-D3</f>
        <v>0.14285714285714279</v>
      </c>
      <c r="F3">
        <v>0.08</v>
      </c>
      <c r="G3">
        <v>8.9999999999999993E-3</v>
      </c>
      <c r="H3" s="6">
        <f>1-($F$2-F3)/$F$2</f>
        <v>1</v>
      </c>
      <c r="I3" s="6">
        <f t="shared" ref="I3:I6" si="1">1-H3</f>
        <v>0</v>
      </c>
      <c r="J3">
        <v>1.68</v>
      </c>
      <c r="K3">
        <v>0.23</v>
      </c>
    </row>
    <row r="4" spans="1:11" x14ac:dyDescent="0.25">
      <c r="A4">
        <v>25</v>
      </c>
      <c r="B4">
        <v>5.0999999999999996</v>
      </c>
      <c r="C4">
        <v>0.08</v>
      </c>
      <c r="D4" s="6">
        <f>1-($B$2-B4)/$B$2</f>
        <v>0.72857142857142854</v>
      </c>
      <c r="E4" s="6">
        <f t="shared" si="0"/>
        <v>0.27142857142857146</v>
      </c>
      <c r="F4">
        <v>7.0000000000000007E-2</v>
      </c>
      <c r="G4">
        <v>0.01</v>
      </c>
      <c r="H4" s="6">
        <f t="shared" ref="H4:H6" si="2">1-($F$2-F4)/$F$2</f>
        <v>0.87500000000000011</v>
      </c>
      <c r="I4" s="6">
        <f t="shared" si="1"/>
        <v>0.12499999999999989</v>
      </c>
      <c r="J4">
        <v>1.69</v>
      </c>
      <c r="K4">
        <v>0.25</v>
      </c>
    </row>
    <row r="5" spans="1:11" x14ac:dyDescent="0.25">
      <c r="A5">
        <v>30</v>
      </c>
      <c r="B5">
        <v>4.8</v>
      </c>
      <c r="C5">
        <v>0.3</v>
      </c>
      <c r="D5" s="6">
        <f>1-($B$2-B5)/$B$2</f>
        <v>0.68571428571428572</v>
      </c>
      <c r="E5" s="6">
        <f t="shared" si="0"/>
        <v>0.31428571428571428</v>
      </c>
      <c r="F5">
        <v>0.05</v>
      </c>
      <c r="G5">
        <v>3.0000000000000001E-3</v>
      </c>
      <c r="H5" s="6">
        <f t="shared" si="2"/>
        <v>0.625</v>
      </c>
      <c r="I5" s="6">
        <f t="shared" si="1"/>
        <v>0.375</v>
      </c>
      <c r="J5">
        <v>1.22</v>
      </c>
      <c r="K5">
        <v>0.08</v>
      </c>
    </row>
    <row r="6" spans="1:11" x14ac:dyDescent="0.25">
      <c r="A6">
        <v>35</v>
      </c>
      <c r="B6">
        <v>4</v>
      </c>
      <c r="C6">
        <v>0.63</v>
      </c>
      <c r="D6" s="6">
        <f>1-($B$2-B6)/$B$2</f>
        <v>0.5714285714285714</v>
      </c>
      <c r="E6" s="6">
        <f t="shared" si="0"/>
        <v>0.4285714285714286</v>
      </c>
      <c r="F6">
        <v>0.05</v>
      </c>
      <c r="G6">
        <v>3.0000000000000001E-3</v>
      </c>
      <c r="H6" s="6">
        <f t="shared" si="2"/>
        <v>0.625</v>
      </c>
      <c r="I6" s="6">
        <f t="shared" si="1"/>
        <v>0.375</v>
      </c>
      <c r="J6">
        <v>1.2</v>
      </c>
      <c r="K6">
        <v>0.15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CF77E-8971-4EF4-9E6E-8FC73109F299}">
  <dimension ref="A1:O14"/>
  <sheetViews>
    <sheetView tabSelected="1" workbookViewId="0">
      <selection activeCell="H21" sqref="H21"/>
    </sheetView>
  </sheetViews>
  <sheetFormatPr defaultRowHeight="15" x14ac:dyDescent="0.25"/>
  <cols>
    <col min="1" max="1" width="13.42578125" customWidth="1"/>
    <col min="2" max="2" width="42.5703125" customWidth="1"/>
    <col min="3" max="3" width="13.28515625" customWidth="1"/>
    <col min="4" max="4" width="11.140625" customWidth="1"/>
    <col min="5" max="5" width="12.5703125" customWidth="1"/>
    <col min="6" max="6" width="13.5703125" customWidth="1"/>
    <col min="7" max="7" width="23.85546875" bestFit="1" customWidth="1"/>
    <col min="8" max="8" width="25.28515625" bestFit="1" customWidth="1"/>
    <col min="9" max="10" width="21.5703125" bestFit="1" customWidth="1"/>
    <col min="14" max="14" width="15" customWidth="1"/>
    <col min="15" max="15" width="22.5703125" bestFit="1" customWidth="1"/>
  </cols>
  <sheetData>
    <row r="1" spans="1:15" ht="15.75" thickBot="1" x14ac:dyDescent="0.3">
      <c r="A1" s="4" t="s">
        <v>12</v>
      </c>
      <c r="B1" s="5"/>
      <c r="C1" s="5"/>
      <c r="D1" s="5"/>
      <c r="E1" s="5"/>
      <c r="F1" s="5"/>
    </row>
    <row r="2" spans="1:15" ht="33.75" thickBot="1" x14ac:dyDescent="0.3">
      <c r="A2" s="1" t="s">
        <v>6</v>
      </c>
      <c r="B2" s="1" t="s">
        <v>11</v>
      </c>
      <c r="C2" s="1" t="s">
        <v>7</v>
      </c>
      <c r="D2" s="1" t="s">
        <v>8</v>
      </c>
      <c r="E2" s="1" t="s">
        <v>9</v>
      </c>
      <c r="F2" s="1" t="s">
        <v>10</v>
      </c>
      <c r="G2" s="7" t="str">
        <f>CONCATENATE("Percent_Baseline_",C2)</f>
        <v>Percent_Baseline_Apache</v>
      </c>
      <c r="H2" s="7" t="str">
        <f>CONCATENATE("Percent_Baseline_",D2)</f>
        <v>Percent_Baseline_Riverside</v>
      </c>
      <c r="I2" s="7" t="str">
        <f>CONCATENATE("Percent_Baseline_",E2)</f>
        <v>Percent_Baseline_SVA1</v>
      </c>
      <c r="J2" s="7" t="str">
        <f>CONCATENATE("Percent_Baseline_",F2)</f>
        <v>Percent_Baseline_SVA2</v>
      </c>
      <c r="K2" s="7" t="str">
        <f>CONCATENATE("Percent_Reduction_",G2)</f>
        <v>Percent_Reduction_Percent_Baseline_Apache</v>
      </c>
      <c r="L2" s="7" t="str">
        <f>CONCATENATE("Percent_Reduction_",H2)</f>
        <v>Percent_Reduction_Percent_Baseline_Riverside</v>
      </c>
      <c r="M2" s="7" t="str">
        <f>CONCATENATE("Percent_Reduction_",I2)</f>
        <v>Percent_Reduction_Percent_Baseline_SVA1</v>
      </c>
      <c r="N2" s="7" t="str">
        <f>CONCATENATE("Percent_Reduction_",J2)</f>
        <v>Percent_Reduction_Percent_Baseline_SVA2</v>
      </c>
      <c r="O2" s="9" t="s">
        <v>16</v>
      </c>
    </row>
    <row r="3" spans="1:15" ht="17.25" thickBot="1" x14ac:dyDescent="0.3">
      <c r="A3" s="2">
        <v>0.08</v>
      </c>
      <c r="B3" s="2">
        <f>A3*10</f>
        <v>0.8</v>
      </c>
      <c r="C3" s="2">
        <v>2.12E-2</v>
      </c>
      <c r="D3" s="2">
        <v>3.3300000000000003E-2</v>
      </c>
      <c r="E3" s="2">
        <v>1.7899999999999999E-2</v>
      </c>
      <c r="F3" s="2">
        <v>3.3599999999999998E-2</v>
      </c>
      <c r="G3">
        <f>1</f>
        <v>1</v>
      </c>
      <c r="H3">
        <f>1</f>
        <v>1</v>
      </c>
      <c r="I3">
        <f>1</f>
        <v>1</v>
      </c>
      <c r="J3">
        <f>1</f>
        <v>1</v>
      </c>
      <c r="K3">
        <f>1-G3</f>
        <v>0</v>
      </c>
      <c r="L3">
        <f t="shared" ref="L3:O6" si="0">1-H3</f>
        <v>0</v>
      </c>
      <c r="M3">
        <f t="shared" si="0"/>
        <v>0</v>
      </c>
      <c r="N3">
        <f t="shared" si="0"/>
        <v>0</v>
      </c>
      <c r="O3" s="6">
        <f>AVERAGE(K3:N3)</f>
        <v>0</v>
      </c>
    </row>
    <row r="4" spans="1:15" ht="17.25" thickBot="1" x14ac:dyDescent="0.3">
      <c r="A4" s="2">
        <v>2.5</v>
      </c>
      <c r="B4" s="2">
        <f t="shared" ref="B4:B6" si="1">A4*10</f>
        <v>25</v>
      </c>
      <c r="C4" s="2">
        <v>2.8500000000000001E-2</v>
      </c>
      <c r="D4" s="2">
        <v>1.49E-2</v>
      </c>
      <c r="E4" s="2">
        <v>1.41E-2</v>
      </c>
      <c r="F4" s="2">
        <v>2.75E-2</v>
      </c>
      <c r="G4" s="6">
        <f>MIN(1,1-(C$3-C4)/C$3)</f>
        <v>1</v>
      </c>
      <c r="H4" s="6">
        <f t="shared" ref="H4:J6" si="2">MIN(1,1-(D$3-D4)/D$3)</f>
        <v>0.44744744744744736</v>
      </c>
      <c r="I4" s="6">
        <f t="shared" si="2"/>
        <v>0.78770949720670391</v>
      </c>
      <c r="J4" s="6">
        <f t="shared" si="2"/>
        <v>0.81845238095238104</v>
      </c>
      <c r="K4" s="6">
        <f>1-G4</f>
        <v>0</v>
      </c>
      <c r="L4" s="6">
        <f t="shared" si="0"/>
        <v>0.55255255255255264</v>
      </c>
      <c r="M4" s="6">
        <f t="shared" si="0"/>
        <v>0.21229050279329609</v>
      </c>
      <c r="N4" s="6">
        <f t="shared" si="0"/>
        <v>0.18154761904761896</v>
      </c>
      <c r="O4" s="6">
        <f t="shared" ref="O4:O6" si="3">AVERAGE(K4:N4)</f>
        <v>0.23659766859836692</v>
      </c>
    </row>
    <row r="5" spans="1:15" ht="17.25" thickBot="1" x14ac:dyDescent="0.3">
      <c r="A5" s="2">
        <v>3</v>
      </c>
      <c r="B5" s="2">
        <f t="shared" si="1"/>
        <v>30</v>
      </c>
      <c r="C5" s="2">
        <v>1.8100000000000002E-2</v>
      </c>
      <c r="D5" s="2">
        <v>8.3000000000000001E-3</v>
      </c>
      <c r="E5" s="2">
        <v>9.7000000000000003E-3</v>
      </c>
      <c r="F5" s="2">
        <v>1.61E-2</v>
      </c>
      <c r="G5" s="6">
        <f t="shared" ref="G5:G6" si="4">MIN(1,1-(C$3-C5)/C$3)</f>
        <v>0.85377358490566047</v>
      </c>
      <c r="H5" s="6">
        <f t="shared" si="2"/>
        <v>0.24924924924924929</v>
      </c>
      <c r="I5" s="6">
        <f t="shared" si="2"/>
        <v>0.54189944134078216</v>
      </c>
      <c r="J5" s="6">
        <f t="shared" si="2"/>
        <v>0.47916666666666674</v>
      </c>
      <c r="K5" s="6">
        <f>1-G5</f>
        <v>0.14622641509433953</v>
      </c>
      <c r="L5" s="6">
        <f t="shared" si="0"/>
        <v>0.75075075075075071</v>
      </c>
      <c r="M5" s="6">
        <f t="shared" si="0"/>
        <v>0.45810055865921784</v>
      </c>
      <c r="N5" s="6">
        <f t="shared" si="0"/>
        <v>0.52083333333333326</v>
      </c>
      <c r="O5" s="6">
        <f t="shared" si="3"/>
        <v>0.46897776445941036</v>
      </c>
    </row>
    <row r="6" spans="1:15" ht="17.25" thickBot="1" x14ac:dyDescent="0.3">
      <c r="A6" s="2">
        <v>3.5</v>
      </c>
      <c r="B6" s="2">
        <f t="shared" si="1"/>
        <v>35</v>
      </c>
      <c r="C6" s="2">
        <v>9.9000000000000008E-3</v>
      </c>
      <c r="D6" s="2">
        <v>7.1999999999999998E-3</v>
      </c>
      <c r="E6" s="2">
        <v>6.3E-3</v>
      </c>
      <c r="F6" s="3">
        <v>1.4800000000000001E-2</v>
      </c>
      <c r="G6" s="6">
        <f t="shared" si="4"/>
        <v>0.46698113207547176</v>
      </c>
      <c r="H6" s="6">
        <f t="shared" si="2"/>
        <v>0.21621621621621612</v>
      </c>
      <c r="I6" s="6">
        <f t="shared" si="2"/>
        <v>0.35195530726256985</v>
      </c>
      <c r="J6" s="6">
        <f t="shared" si="2"/>
        <v>0.44047619047619058</v>
      </c>
      <c r="K6" s="6">
        <f>1-G6</f>
        <v>0.53301886792452824</v>
      </c>
      <c r="L6" s="6">
        <f t="shared" si="0"/>
        <v>0.78378378378378388</v>
      </c>
      <c r="M6" s="6">
        <f t="shared" si="0"/>
        <v>0.64804469273743015</v>
      </c>
      <c r="N6" s="6">
        <f t="shared" si="0"/>
        <v>0.55952380952380942</v>
      </c>
      <c r="O6" s="6">
        <f>AVERAGE(K6:N6)</f>
        <v>0.63109278849238792</v>
      </c>
    </row>
    <row r="9" spans="1:15" ht="15.75" thickBot="1" x14ac:dyDescent="0.3">
      <c r="A9" s="4" t="s">
        <v>13</v>
      </c>
      <c r="B9" s="5"/>
      <c r="C9" s="5"/>
      <c r="D9" s="5"/>
      <c r="E9" s="5"/>
      <c r="F9" s="5"/>
    </row>
    <row r="10" spans="1:15" ht="33.75" thickBot="1" x14ac:dyDescent="0.3">
      <c r="A10" s="1" t="s">
        <v>6</v>
      </c>
      <c r="B10" s="1" t="s">
        <v>11</v>
      </c>
      <c r="C10" s="1" t="s">
        <v>7</v>
      </c>
      <c r="D10" s="1" t="s">
        <v>8</v>
      </c>
      <c r="E10" s="1" t="s">
        <v>9</v>
      </c>
      <c r="F10" s="1" t="s">
        <v>10</v>
      </c>
      <c r="G10" s="7" t="str">
        <f>CONCATENATE("Percent_Baseline_",C10)</f>
        <v>Percent_Baseline_Apache</v>
      </c>
      <c r="H10" s="7" t="str">
        <f>CONCATENATE("Percent_Baseline_",D10)</f>
        <v>Percent_Baseline_Riverside</v>
      </c>
      <c r="I10" s="7" t="str">
        <f>CONCATENATE("Percent_Baseline_",E10)</f>
        <v>Percent_Baseline_SVA1</v>
      </c>
      <c r="J10" s="7" t="str">
        <f>CONCATENATE("Percent_Baseline_",F10)</f>
        <v>Percent_Baseline_SVA2</v>
      </c>
      <c r="K10" s="7" t="str">
        <f>CONCATENATE("Percent_Reduction_",G10)</f>
        <v>Percent_Reduction_Percent_Baseline_Apache</v>
      </c>
      <c r="L10" s="7" t="str">
        <f>CONCATENATE("Percent_Reduction_",H10)</f>
        <v>Percent_Reduction_Percent_Baseline_Riverside</v>
      </c>
      <c r="M10" s="7" t="str">
        <f>CONCATENATE("Percent_Reduction_",I10)</f>
        <v>Percent_Reduction_Percent_Baseline_SVA1</v>
      </c>
      <c r="N10" s="7" t="str">
        <f>CONCATENATE("Percent_Reduction_",J10)</f>
        <v>Percent_Reduction_Percent_Baseline_SVA2</v>
      </c>
    </row>
    <row r="11" spans="1:15" ht="17.25" thickBot="1" x14ac:dyDescent="0.3">
      <c r="A11" s="2">
        <v>0.08</v>
      </c>
      <c r="B11">
        <f>A11*10</f>
        <v>0.8</v>
      </c>
      <c r="C11" s="2">
        <v>5.2</v>
      </c>
      <c r="D11" s="2">
        <v>5.3</v>
      </c>
      <c r="E11" s="2">
        <v>5.2</v>
      </c>
      <c r="F11" s="2">
        <v>4.3</v>
      </c>
      <c r="G11">
        <f>1</f>
        <v>1</v>
      </c>
      <c r="H11">
        <f>1</f>
        <v>1</v>
      </c>
      <c r="I11">
        <f>1</f>
        <v>1</v>
      </c>
      <c r="J11">
        <f>1</f>
        <v>1</v>
      </c>
      <c r="K11">
        <f>1-G11</f>
        <v>0</v>
      </c>
      <c r="L11">
        <f t="shared" ref="L11:N14" si="5">1-H11</f>
        <v>0</v>
      </c>
      <c r="M11">
        <f t="shared" si="5"/>
        <v>0</v>
      </c>
      <c r="N11">
        <f t="shared" si="5"/>
        <v>0</v>
      </c>
    </row>
    <row r="12" spans="1:15" ht="17.25" thickBot="1" x14ac:dyDescent="0.3">
      <c r="A12" s="2">
        <v>2.5</v>
      </c>
      <c r="B12">
        <f t="shared" ref="B12:B14" si="6">A12*10</f>
        <v>25</v>
      </c>
      <c r="C12" s="2">
        <v>3.7</v>
      </c>
      <c r="D12" s="2">
        <v>4.3</v>
      </c>
      <c r="E12" s="2">
        <v>4.7</v>
      </c>
      <c r="F12" s="2">
        <v>4</v>
      </c>
      <c r="G12" s="6">
        <f>MIN(1,1-(C$11-C12)/C$11)</f>
        <v>0.71153846153846156</v>
      </c>
      <c r="H12" s="6">
        <f t="shared" ref="H12:J14" si="7">MIN(1,1-(D$11-D12)/D$11)</f>
        <v>0.81132075471698117</v>
      </c>
      <c r="I12" s="6">
        <f t="shared" si="7"/>
        <v>0.90384615384615385</v>
      </c>
      <c r="J12" s="6">
        <f t="shared" si="7"/>
        <v>0.93023255813953498</v>
      </c>
      <c r="K12" s="6">
        <f>1-G12</f>
        <v>0.28846153846153844</v>
      </c>
      <c r="L12" s="6">
        <f t="shared" si="5"/>
        <v>0.18867924528301883</v>
      </c>
      <c r="M12" s="6">
        <f t="shared" si="5"/>
        <v>9.6153846153846145E-2</v>
      </c>
      <c r="N12" s="6">
        <f t="shared" si="5"/>
        <v>6.9767441860465018E-2</v>
      </c>
    </row>
    <row r="13" spans="1:15" ht="17.25" thickBot="1" x14ac:dyDescent="0.3">
      <c r="A13" s="2">
        <v>3</v>
      </c>
      <c r="B13">
        <f t="shared" si="6"/>
        <v>30</v>
      </c>
      <c r="C13" s="2">
        <v>2.6</v>
      </c>
      <c r="D13" s="2">
        <v>3.7</v>
      </c>
      <c r="E13" s="2">
        <v>3.9</v>
      </c>
      <c r="F13" s="2">
        <v>2.7</v>
      </c>
      <c r="G13" s="6">
        <f t="shared" ref="G13:G14" si="8">MIN(1,1-(C$11-C13)/C$11)</f>
        <v>0.5</v>
      </c>
      <c r="H13" s="6">
        <f t="shared" si="7"/>
        <v>0.69811320754716988</v>
      </c>
      <c r="I13" s="6">
        <f t="shared" si="7"/>
        <v>0.75</v>
      </c>
      <c r="J13" s="6">
        <f t="shared" si="7"/>
        <v>0.62790697674418605</v>
      </c>
      <c r="K13" s="6">
        <f>1-G13</f>
        <v>0.5</v>
      </c>
      <c r="L13" s="6">
        <f t="shared" si="5"/>
        <v>0.30188679245283012</v>
      </c>
      <c r="M13" s="6">
        <f t="shared" si="5"/>
        <v>0.25</v>
      </c>
      <c r="N13" s="6">
        <f t="shared" si="5"/>
        <v>0.37209302325581395</v>
      </c>
    </row>
    <row r="14" spans="1:15" ht="17.25" thickBot="1" x14ac:dyDescent="0.3">
      <c r="A14" s="2">
        <v>3.5</v>
      </c>
      <c r="B14">
        <f t="shared" si="6"/>
        <v>35</v>
      </c>
      <c r="C14" s="2">
        <v>1.8</v>
      </c>
      <c r="D14" s="2">
        <v>3.7</v>
      </c>
      <c r="E14" s="2">
        <v>2.9</v>
      </c>
      <c r="F14" s="2">
        <v>2.6</v>
      </c>
      <c r="G14" s="6">
        <f t="shared" si="8"/>
        <v>0.34615384615384615</v>
      </c>
      <c r="H14" s="6">
        <f t="shared" si="7"/>
        <v>0.69811320754716988</v>
      </c>
      <c r="I14" s="6">
        <f t="shared" si="7"/>
        <v>0.55769230769230771</v>
      </c>
      <c r="J14" s="6">
        <f t="shared" si="7"/>
        <v>0.60465116279069764</v>
      </c>
      <c r="K14" s="6">
        <f>1-G14</f>
        <v>0.65384615384615385</v>
      </c>
      <c r="L14" s="6">
        <f t="shared" si="5"/>
        <v>0.30188679245283012</v>
      </c>
      <c r="M14" s="6">
        <f t="shared" si="5"/>
        <v>0.44230769230769229</v>
      </c>
      <c r="N14" s="6">
        <f t="shared" si="5"/>
        <v>0.39534883720930236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3</vt:i4>
      </vt:variant>
    </vt:vector>
  </HeadingPairs>
  <TitlesOfParts>
    <vt:vector size="5" baseType="lpstr">
      <vt:lpstr>Sanchez-Ledema Data</vt:lpstr>
      <vt:lpstr>Campos-Villareal Data</vt:lpstr>
      <vt:lpstr>Photosynthetic Rate Reduct Plot</vt:lpstr>
      <vt:lpstr>Photosynthetic Pct Reduct</vt:lpstr>
      <vt:lpstr>Stomatal Conductance Reduc Plot</vt:lpstr>
    </vt:vector>
  </TitlesOfParts>
  <Company>The Geosyntec family of companies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Gottlieb</dc:creator>
  <cp:lastModifiedBy>Josh Gottlieb</cp:lastModifiedBy>
  <dcterms:created xsi:type="dcterms:W3CDTF">2026-04-06T04:24:07Z</dcterms:created>
  <dcterms:modified xsi:type="dcterms:W3CDTF">2026-04-14T15:31:06Z</dcterms:modified>
</cp:coreProperties>
</file>