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PSU/Salinity Research/"/>
    </mc:Choice>
  </mc:AlternateContent>
  <xr:revisionPtr revIDLastSave="2" documentId="8_{45816F81-529B-42F4-96C8-891A5760824B}" xr6:coauthVersionLast="47" xr6:coauthVersionMax="47" xr10:uidLastSave="{758A1774-236E-4DC7-949D-7D07557412BF}"/>
  <bookViews>
    <workbookView xWindow="-23148" yWindow="-108" windowWidth="23256" windowHeight="13896" xr2:uid="{67BEDC12-9F10-49F7-94E9-A446FEF16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J7" i="1"/>
  <c r="K15" i="1"/>
  <c r="J15" i="1"/>
  <c r="K11" i="1"/>
  <c r="J11" i="1"/>
  <c r="K7" i="1"/>
  <c r="L7" i="1" s="1"/>
  <c r="I3" i="1"/>
  <c r="H3" i="1"/>
  <c r="L11" i="1" l="1"/>
  <c r="L15" i="1"/>
  <c r="L3" i="1"/>
  <c r="O2" i="1" s="1"/>
  <c r="O3" i="1" s="1"/>
</calcChain>
</file>

<file path=xl/sharedStrings.xml><?xml version="1.0" encoding="utf-8"?>
<sst xmlns="http://schemas.openxmlformats.org/spreadsheetml/2006/main" count="29" uniqueCount="15">
  <si>
    <t>Parameters</t>
  </si>
  <si>
    <t xml:space="preserve">Transpiration </t>
  </si>
  <si>
    <r>
      <t>mmol 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 xml:space="preserve"> s</t>
    </r>
    <r>
      <rPr>
        <vertAlign val="superscript"/>
        <sz val="11"/>
        <color theme="1"/>
        <rFont val="Aptos Narrow"/>
        <family val="2"/>
        <scheme val="minor"/>
      </rPr>
      <t>-1</t>
    </r>
  </si>
  <si>
    <t>Trial 1</t>
  </si>
  <si>
    <t>Diameter Heart</t>
  </si>
  <si>
    <t>Diameter</t>
  </si>
  <si>
    <t>Area heart</t>
  </si>
  <si>
    <t>Area</t>
  </si>
  <si>
    <t>Sapwood Area</t>
  </si>
  <si>
    <t>Trial 2</t>
  </si>
  <si>
    <t>Sapwood</t>
  </si>
  <si>
    <t>Trial 3</t>
  </si>
  <si>
    <t>Trial 4</t>
  </si>
  <si>
    <t>Ratio</t>
  </si>
  <si>
    <t>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</si>
</sst>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7D97-DB05-48E4-81C3-93752542E851}">
  <dimension ref="A1:O15"/>
  <sheetViews>
    <sheetView tabSelected="1" workbookViewId="0">
      <selection activeCell="M3" sqref="M3"/>
    </sheetView>
  </sheetViews>
  <sheetFormatPr defaultRowHeight="15" x14ac:dyDescent="0.25"/>
  <cols>
    <col min="1" max="1" width="13.28515625" bestFit="1" customWidth="1"/>
    <col min="8" max="8" width="13.42578125" bestFit="1" customWidth="1"/>
    <col min="9" max="9" width="8.42578125" bestFit="1" customWidth="1"/>
    <col min="10" max="11" width="12" bestFit="1" customWidth="1"/>
    <col min="12" max="12" width="12.42578125" bestFit="1" customWidth="1"/>
    <col min="13" max="13" width="11" bestFit="1" customWidth="1"/>
  </cols>
  <sheetData>
    <row r="1" spans="1:15" x14ac:dyDescent="0.25">
      <c r="A1" t="s">
        <v>0</v>
      </c>
      <c r="H1" t="s">
        <v>3</v>
      </c>
      <c r="O1" t="s">
        <v>13</v>
      </c>
    </row>
    <row r="2" spans="1:15" ht="16.5" x14ac:dyDescent="0.25">
      <c r="A2" t="s">
        <v>1</v>
      </c>
      <c r="B2" s="1" t="s">
        <v>14</v>
      </c>
      <c r="C2" s="1" t="s">
        <v>2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O2">
        <f>(J3+J7+J11+J15)/(L3+L7+L11+L15)</f>
        <v>1.1919763474174267E-2</v>
      </c>
    </row>
    <row r="3" spans="1:15" x14ac:dyDescent="0.25">
      <c r="H3">
        <f>1.17</f>
        <v>1.17</v>
      </c>
      <c r="I3">
        <f>(13.55+11.31)/2</f>
        <v>12.43</v>
      </c>
      <c r="J3">
        <f>(((H3)^2)/(4))*PI()</f>
        <v>1.0751315458747668</v>
      </c>
      <c r="K3">
        <f>((I3)^2)/(4)*PI()</f>
        <v>121.3478646959064</v>
      </c>
      <c r="L3">
        <f>K3-J3</f>
        <v>120.27273315003163</v>
      </c>
      <c r="O3">
        <f>1-O2</f>
        <v>0.98808023652582577</v>
      </c>
    </row>
    <row r="5" spans="1:15" x14ac:dyDescent="0.25">
      <c r="H5" t="s">
        <v>9</v>
      </c>
    </row>
    <row r="6" spans="1:15" x14ac:dyDescent="0.25">
      <c r="H6" t="s">
        <v>4</v>
      </c>
      <c r="I6" t="s">
        <v>5</v>
      </c>
      <c r="J6" t="s">
        <v>6</v>
      </c>
      <c r="K6" t="s">
        <v>7</v>
      </c>
      <c r="L6" t="s">
        <v>10</v>
      </c>
    </row>
    <row r="7" spans="1:15" x14ac:dyDescent="0.25">
      <c r="H7">
        <v>1.2</v>
      </c>
      <c r="I7">
        <v>12.09</v>
      </c>
      <c r="J7">
        <f>((H7)^2)/(4)*PI()</f>
        <v>1.1309733552923256</v>
      </c>
      <c r="K7">
        <f>((I7)^2)/(4)*PI()</f>
        <v>114.80015728729457</v>
      </c>
      <c r="L7">
        <f>K7-J7</f>
        <v>113.66918393200224</v>
      </c>
    </row>
    <row r="9" spans="1:15" x14ac:dyDescent="0.25">
      <c r="H9" t="s">
        <v>11</v>
      </c>
    </row>
    <row r="10" spans="1:15" x14ac:dyDescent="0.25">
      <c r="H10" t="s">
        <v>4</v>
      </c>
      <c r="I10" t="s">
        <v>5</v>
      </c>
      <c r="J10" t="s">
        <v>6</v>
      </c>
      <c r="K10" t="s">
        <v>7</v>
      </c>
      <c r="L10" t="s">
        <v>10</v>
      </c>
    </row>
    <row r="11" spans="1:15" x14ac:dyDescent="0.25">
      <c r="H11">
        <v>1.57</v>
      </c>
      <c r="I11">
        <v>11.11</v>
      </c>
      <c r="J11">
        <f>((H11)^2)/(4)*PI()</f>
        <v>1.9359279329583703</v>
      </c>
      <c r="K11">
        <f>((I11)^2)/(4)*PI()</f>
        <v>96.943344644290164</v>
      </c>
      <c r="L11">
        <f>K11-J11</f>
        <v>95.0074167113318</v>
      </c>
    </row>
    <row r="13" spans="1:15" x14ac:dyDescent="0.25">
      <c r="H13" t="s">
        <v>12</v>
      </c>
    </row>
    <row r="14" spans="1:15" x14ac:dyDescent="0.25">
      <c r="H14" t="s">
        <v>4</v>
      </c>
      <c r="I14" t="s">
        <v>5</v>
      </c>
      <c r="J14" t="s">
        <v>6</v>
      </c>
      <c r="K14" t="s">
        <v>7</v>
      </c>
      <c r="L14" t="s">
        <v>10</v>
      </c>
    </row>
    <row r="15" spans="1:15" x14ac:dyDescent="0.25">
      <c r="H15">
        <v>1.5</v>
      </c>
      <c r="I15">
        <v>14.65</v>
      </c>
      <c r="J15">
        <f>((H15)^2)/(4)*PI()</f>
        <v>1.7671458676442586</v>
      </c>
      <c r="K15">
        <f>((I15)^2)/(4)*PI()</f>
        <v>168.56411732376884</v>
      </c>
      <c r="L15">
        <f>K15-J15</f>
        <v>166.7969714561246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Turley</dc:creator>
  <cp:lastModifiedBy>Josh Gottlieb</cp:lastModifiedBy>
  <dcterms:created xsi:type="dcterms:W3CDTF">2026-02-27T19:34:21Z</dcterms:created>
  <dcterms:modified xsi:type="dcterms:W3CDTF">2026-04-30T05:48:00Z</dcterms:modified>
</cp:coreProperties>
</file>