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osyntec-my.sharepoint.com/personal/josh_gottlieb_geosyntec_com/Documents/Documents/SourceCode/Photo3-Plant-Salinity-Traits/literature_data/"/>
    </mc:Choice>
  </mc:AlternateContent>
  <xr:revisionPtr revIDLastSave="17" documentId="8_{70A7D5AF-436E-47C0-ACB1-D218129E06A9}" xr6:coauthVersionLast="47" xr6:coauthVersionMax="47" xr10:uidLastSave="{BC23416B-E29A-4FAC-B95D-6A7D543DC91D}"/>
  <bookViews>
    <workbookView xWindow="-120" yWindow="-120" windowWidth="29040" windowHeight="15720" xr2:uid="{61F01B99-48EB-4810-BABE-F1C7C9AA3871}"/>
  </bookViews>
  <sheets>
    <sheet name="Table2_Pawnee_rootstocks_splitS" sheetId="1" r:id="rId1"/>
  </sheets>
  <calcPr calcId="0"/>
</workbook>
</file>

<file path=xl/calcChain.xml><?xml version="1.0" encoding="utf-8"?>
<calcChain xmlns="http://schemas.openxmlformats.org/spreadsheetml/2006/main">
  <c r="D14" i="1" l="1"/>
  <c r="E14" i="1"/>
  <c r="F14" i="1"/>
  <c r="H14" i="1"/>
  <c r="C14" i="1"/>
  <c r="B14" i="1"/>
</calcChain>
</file>

<file path=xl/sharedStrings.xml><?xml version="1.0" encoding="utf-8"?>
<sst xmlns="http://schemas.openxmlformats.org/spreadsheetml/2006/main" count="21" uniqueCount="21">
  <si>
    <t>Rootstock</t>
  </si>
  <si>
    <t>Total leaflet area (cm^2)</t>
  </si>
  <si>
    <t>Total leaflet area_Std_Err</t>
  </si>
  <si>
    <t>STR_Std_Err</t>
  </si>
  <si>
    <t>CTR_Std_Err</t>
  </si>
  <si>
    <t>87MX1-2.2</t>
  </si>
  <si>
    <t>87MX5-1.7</t>
  </si>
  <si>
    <t>Elliott</t>
  </si>
  <si>
    <t>Frutoso</t>
  </si>
  <si>
    <t>Giles</t>
  </si>
  <si>
    <t>Major</t>
  </si>
  <si>
    <t>Moore</t>
  </si>
  <si>
    <t>Peruque</t>
  </si>
  <si>
    <t>Posey</t>
  </si>
  <si>
    <t>Riverside</t>
  </si>
  <si>
    <t>San Felipe</t>
  </si>
  <si>
    <t>VC1-68</t>
  </si>
  <si>
    <t>Maximum Stomatal Transpiration Rate (mmol m^-2 s^-1)</t>
  </si>
  <si>
    <t>Cuticular Transpiration Rate (mmol m^-2 s^-1)</t>
  </si>
  <si>
    <t>Cuticular Transpiration Rate (mm s^-1)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</si>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</sst>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B22BF-51FE-497D-A207-4FAEC8FD21BF}">
  <dimension ref="A1:H14"/>
  <sheetViews>
    <sheetView tabSelected="1" workbookViewId="0">
      <selection activeCell="F14" sqref="F14"/>
    </sheetView>
  </sheetViews>
  <sheetFormatPr defaultRowHeight="15" x14ac:dyDescent="0.25"/>
  <cols>
    <col min="1" max="1" width="19.140625" customWidth="1"/>
    <col min="2" max="2" width="22.85546875" bestFit="1" customWidth="1"/>
    <col min="3" max="3" width="23" bestFit="1" customWidth="1"/>
    <col min="4" max="4" width="52.42578125" bestFit="1" customWidth="1"/>
    <col min="5" max="5" width="17" customWidth="1"/>
    <col min="6" max="6" width="43.140625" bestFit="1" customWidth="1"/>
    <col min="7" max="7" width="43.140625" customWidth="1"/>
    <col min="8" max="8" width="1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17</v>
      </c>
      <c r="E1" t="s">
        <v>3</v>
      </c>
      <c r="F1" t="s">
        <v>18</v>
      </c>
      <c r="G1" t="s">
        <v>19</v>
      </c>
      <c r="H1" t="s">
        <v>4</v>
      </c>
    </row>
    <row r="2" spans="1:8" x14ac:dyDescent="0.25">
      <c r="A2" t="s">
        <v>5</v>
      </c>
      <c r="B2">
        <v>25.42</v>
      </c>
      <c r="C2">
        <v>2.44</v>
      </c>
      <c r="D2">
        <v>0.77</v>
      </c>
      <c r="E2">
        <v>0.16</v>
      </c>
      <c r="F2">
        <v>0.2</v>
      </c>
      <c r="H2">
        <v>0.05</v>
      </c>
    </row>
    <row r="3" spans="1:8" x14ac:dyDescent="0.25">
      <c r="A3" t="s">
        <v>6</v>
      </c>
      <c r="B3">
        <v>24.96</v>
      </c>
      <c r="C3">
        <v>4.26</v>
      </c>
      <c r="D3">
        <v>0.82</v>
      </c>
      <c r="E3">
        <v>0.22</v>
      </c>
      <c r="F3">
        <v>0.2</v>
      </c>
      <c r="H3">
        <v>0.04</v>
      </c>
    </row>
    <row r="4" spans="1:8" x14ac:dyDescent="0.25">
      <c r="A4" t="s">
        <v>7</v>
      </c>
      <c r="B4">
        <v>26.91</v>
      </c>
      <c r="C4">
        <v>2.88</v>
      </c>
      <c r="D4">
        <v>0.62</v>
      </c>
      <c r="E4">
        <v>0.31</v>
      </c>
      <c r="F4">
        <v>0.17</v>
      </c>
      <c r="H4">
        <v>0.09</v>
      </c>
    </row>
    <row r="5" spans="1:8" x14ac:dyDescent="0.25">
      <c r="A5" t="s">
        <v>8</v>
      </c>
      <c r="B5">
        <v>22.7</v>
      </c>
      <c r="C5">
        <v>1.57</v>
      </c>
      <c r="D5">
        <v>0.97</v>
      </c>
      <c r="E5">
        <v>0.3</v>
      </c>
      <c r="F5">
        <v>0.22</v>
      </c>
      <c r="H5">
        <v>0.06</v>
      </c>
    </row>
    <row r="6" spans="1:8" x14ac:dyDescent="0.25">
      <c r="A6" t="s">
        <v>9</v>
      </c>
      <c r="B6">
        <v>24.62</v>
      </c>
      <c r="C6">
        <v>4.0999999999999996</v>
      </c>
      <c r="D6">
        <v>0.77</v>
      </c>
      <c r="E6">
        <v>0.23</v>
      </c>
      <c r="F6">
        <v>0.21</v>
      </c>
      <c r="H6">
        <v>0.08</v>
      </c>
    </row>
    <row r="7" spans="1:8" x14ac:dyDescent="0.25">
      <c r="A7" t="s">
        <v>10</v>
      </c>
      <c r="B7">
        <v>24.6</v>
      </c>
      <c r="C7">
        <v>4.3099999999999996</v>
      </c>
      <c r="D7">
        <v>0.75</v>
      </c>
      <c r="E7">
        <v>0.41</v>
      </c>
      <c r="F7">
        <v>0.19</v>
      </c>
      <c r="H7">
        <v>0.05</v>
      </c>
    </row>
    <row r="8" spans="1:8" x14ac:dyDescent="0.25">
      <c r="A8" t="s">
        <v>11</v>
      </c>
      <c r="B8">
        <v>27.23</v>
      </c>
      <c r="C8">
        <v>3.9</v>
      </c>
      <c r="D8">
        <v>0.92</v>
      </c>
      <c r="E8">
        <v>0.41</v>
      </c>
      <c r="F8">
        <v>0.21</v>
      </c>
      <c r="H8">
        <v>7.0000000000000007E-2</v>
      </c>
    </row>
    <row r="9" spans="1:8" x14ac:dyDescent="0.25">
      <c r="A9" t="s">
        <v>12</v>
      </c>
      <c r="B9">
        <v>26.39</v>
      </c>
      <c r="C9">
        <v>5.67</v>
      </c>
      <c r="D9">
        <v>0.84</v>
      </c>
      <c r="E9">
        <v>0.36</v>
      </c>
      <c r="F9">
        <v>0.27</v>
      </c>
      <c r="H9">
        <v>0.16</v>
      </c>
    </row>
    <row r="10" spans="1:8" x14ac:dyDescent="0.25">
      <c r="A10" t="s">
        <v>13</v>
      </c>
      <c r="B10">
        <v>28.91</v>
      </c>
      <c r="C10">
        <v>2.75</v>
      </c>
      <c r="D10">
        <v>1.05</v>
      </c>
      <c r="E10">
        <v>0.35</v>
      </c>
      <c r="F10">
        <v>0.2</v>
      </c>
      <c r="H10">
        <v>0.08</v>
      </c>
    </row>
    <row r="11" spans="1:8" x14ac:dyDescent="0.25">
      <c r="A11" t="s">
        <v>14</v>
      </c>
      <c r="B11">
        <v>23.21</v>
      </c>
      <c r="C11">
        <v>2.98</v>
      </c>
      <c r="D11">
        <v>1.27</v>
      </c>
      <c r="E11">
        <v>0.52</v>
      </c>
      <c r="F11">
        <v>0.26</v>
      </c>
      <c r="H11">
        <v>0.03</v>
      </c>
    </row>
    <row r="12" spans="1:8" x14ac:dyDescent="0.25">
      <c r="A12" t="s">
        <v>15</v>
      </c>
      <c r="B12">
        <v>22.01</v>
      </c>
      <c r="C12">
        <v>3.77</v>
      </c>
      <c r="D12">
        <v>1.24</v>
      </c>
      <c r="E12">
        <v>1.02</v>
      </c>
      <c r="F12">
        <v>0.35</v>
      </c>
      <c r="H12">
        <v>0.25</v>
      </c>
    </row>
    <row r="13" spans="1:8" x14ac:dyDescent="0.25">
      <c r="A13" t="s">
        <v>16</v>
      </c>
      <c r="B13">
        <v>27.98</v>
      </c>
      <c r="C13">
        <v>5.36</v>
      </c>
      <c r="D13">
        <v>0.95</v>
      </c>
      <c r="E13">
        <v>0.61</v>
      </c>
      <c r="F13">
        <v>0.21</v>
      </c>
      <c r="H13">
        <v>0.04</v>
      </c>
    </row>
    <row r="14" spans="1:8" x14ac:dyDescent="0.25">
      <c r="A14" s="1" t="s">
        <v>20</v>
      </c>
      <c r="B14" s="2">
        <f>AVERAGE(B2:B13)</f>
        <v>25.411666666666665</v>
      </c>
      <c r="C14" s="2">
        <f>AVERAGE(C2:C13)</f>
        <v>3.6658333333333331</v>
      </c>
      <c r="D14" s="2">
        <f t="shared" ref="D14:H14" si="0">AVERAGE(D2:D13)</f>
        <v>0.91416666666666657</v>
      </c>
      <c r="E14" s="2">
        <f t="shared" si="0"/>
        <v>0.40833333333333338</v>
      </c>
      <c r="F14" s="2">
        <f t="shared" si="0"/>
        <v>0.22416666666666665</v>
      </c>
      <c r="G14" s="2"/>
      <c r="H14" s="2">
        <f t="shared" si="0"/>
        <v>8.3333333333333329E-2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Table2_Pawnee_rootstocks_splitS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Gottlieb</dc:creator>
  <cp:lastModifiedBy>Josh Gottlieb</cp:lastModifiedBy>
  <dcterms:created xsi:type="dcterms:W3CDTF">2026-04-12T17:50:26Z</dcterms:created>
  <dcterms:modified xsi:type="dcterms:W3CDTF">2026-04-12T23:13:06Z</dcterms:modified>
</cp:coreProperties>
</file>