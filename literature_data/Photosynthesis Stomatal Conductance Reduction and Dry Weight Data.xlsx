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literature_data/"/>
    </mc:Choice>
  </mc:AlternateContent>
  <xr:revisionPtr revIDLastSave="323" documentId="8_{A221A28E-6D81-423C-BE1B-F549E3B52D22}" xr6:coauthVersionLast="47" xr6:coauthVersionMax="47" xr10:uidLastSave="{585F21D9-834E-425C-9650-3F59BD3E00D3}"/>
  <bookViews>
    <workbookView xWindow="-96" yWindow="-96" windowWidth="23232" windowHeight="13872" firstSheet="4" activeTab="6" xr2:uid="{C0AAE20D-2553-4379-8EED-88D25BB078BE}"/>
  </bookViews>
  <sheets>
    <sheet name="Sanchez-Ledesma Data" sheetId="1" r:id="rId1"/>
    <sheet name="Cao et al Data" sheetId="6" r:id="rId2"/>
    <sheet name="Campos-Villareal Data" sheetId="3" r:id="rId3"/>
    <sheet name="Photosynthetic Rate Reduct Plot" sheetId="2" r:id="rId4"/>
    <sheet name="Photosynthetic Pct Reduct" sheetId="5" r:id="rId5"/>
    <sheet name="Stomatal Conductance Reduc Plot" sheetId="4" r:id="rId6"/>
    <sheet name="Dry Weigh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7" l="1"/>
  <c r="D15" i="7"/>
  <c r="B17" i="7"/>
  <c r="B19" i="7"/>
  <c r="B16" i="7"/>
  <c r="B15" i="7"/>
  <c r="C21" i="7"/>
  <c r="B21" i="7"/>
  <c r="B20" i="7"/>
  <c r="B18" i="7"/>
  <c r="F10" i="7"/>
  <c r="D10" i="7" l="1"/>
  <c r="G10" i="7" s="1"/>
  <c r="C10" i="7"/>
  <c r="E10" i="7" s="1"/>
  <c r="O6" i="3"/>
  <c r="O4" i="3"/>
  <c r="O5" i="3"/>
  <c r="O3" i="3"/>
  <c r="L14" i="3"/>
  <c r="M14" i="3"/>
  <c r="N14" i="3"/>
  <c r="K14" i="3"/>
  <c r="L13" i="3"/>
  <c r="M13" i="3"/>
  <c r="N13" i="3"/>
  <c r="K13" i="3"/>
  <c r="L12" i="3"/>
  <c r="M12" i="3"/>
  <c r="N12" i="3"/>
  <c r="K12" i="3"/>
  <c r="L11" i="3"/>
  <c r="M11" i="3"/>
  <c r="N11" i="3"/>
  <c r="K11" i="3"/>
  <c r="L6" i="3"/>
  <c r="M6" i="3"/>
  <c r="N6" i="3"/>
  <c r="K6" i="3"/>
  <c r="L5" i="3"/>
  <c r="M5" i="3"/>
  <c r="N5" i="3"/>
  <c r="K5" i="3"/>
  <c r="L4" i="3"/>
  <c r="M4" i="3"/>
  <c r="N4" i="3"/>
  <c r="K4" i="3"/>
  <c r="L3" i="3"/>
  <c r="M3" i="3"/>
  <c r="N3" i="3"/>
  <c r="K3" i="3"/>
  <c r="G2" i="3"/>
  <c r="K2" i="3" s="1"/>
  <c r="J10" i="3"/>
  <c r="I10" i="3"/>
  <c r="M10" i="3" s="1"/>
  <c r="H10" i="3"/>
  <c r="L10" i="3" s="1"/>
  <c r="G10" i="3"/>
  <c r="K10" i="3" s="1"/>
  <c r="J2" i="3"/>
  <c r="N2" i="3" s="1"/>
  <c r="I2" i="3"/>
  <c r="M2" i="3" s="1"/>
  <c r="H2" i="3"/>
  <c r="L2" i="3" s="1"/>
  <c r="N10" i="3"/>
  <c r="I3" i="1"/>
  <c r="I2" i="1"/>
  <c r="E3" i="1"/>
  <c r="E4" i="1"/>
  <c r="E5" i="1"/>
  <c r="E6" i="1"/>
  <c r="E2" i="1"/>
  <c r="H11" i="3"/>
  <c r="I11" i="3"/>
  <c r="J11" i="3"/>
  <c r="H12" i="3"/>
  <c r="I12" i="3"/>
  <c r="J12" i="3"/>
  <c r="H13" i="3"/>
  <c r="I13" i="3"/>
  <c r="J13" i="3"/>
  <c r="H14" i="3"/>
  <c r="I14" i="3"/>
  <c r="J14" i="3"/>
  <c r="G13" i="3"/>
  <c r="G14" i="3"/>
  <c r="G12" i="3"/>
  <c r="G11" i="3"/>
  <c r="H4" i="3"/>
  <c r="I4" i="3"/>
  <c r="J4" i="3"/>
  <c r="H5" i="3"/>
  <c r="I5" i="3"/>
  <c r="J5" i="3"/>
  <c r="H6" i="3"/>
  <c r="I6" i="3"/>
  <c r="J6" i="3"/>
  <c r="G5" i="3"/>
  <c r="G6" i="3"/>
  <c r="G4" i="3"/>
  <c r="H3" i="3"/>
  <c r="I3" i="3"/>
  <c r="J3" i="3"/>
  <c r="G3" i="3"/>
  <c r="H4" i="1"/>
  <c r="I4" i="1" s="1"/>
  <c r="H5" i="1"/>
  <c r="I5" i="1" s="1"/>
  <c r="H6" i="1"/>
  <c r="I6" i="1" s="1"/>
  <c r="H3" i="1"/>
  <c r="D4" i="1"/>
  <c r="D5" i="1"/>
  <c r="D6" i="1"/>
  <c r="D3" i="1"/>
  <c r="B12" i="3"/>
  <c r="B13" i="3"/>
  <c r="B14" i="3"/>
  <c r="B11" i="3"/>
  <c r="B4" i="3"/>
  <c r="B5" i="3"/>
  <c r="B6" i="3"/>
  <c r="B3" i="3"/>
  <c r="D20" i="7" l="1"/>
  <c r="E20" i="7" s="1"/>
  <c r="F20" i="7" s="1"/>
  <c r="D19" i="7"/>
  <c r="E19" i="7" s="1"/>
  <c r="F19" i="7" s="1"/>
  <c r="D17" i="7"/>
  <c r="E17" i="7" s="1"/>
  <c r="F17" i="7" s="1"/>
  <c r="D18" i="7"/>
  <c r="E18" i="7" s="1"/>
  <c r="F18" i="7" s="1"/>
  <c r="D16" i="7"/>
  <c r="E16" i="7" s="1"/>
  <c r="F16" i="7" s="1"/>
  <c r="D22" i="7"/>
  <c r="E22" i="7" s="1"/>
  <c r="F22" i="7" s="1"/>
  <c r="E15" i="7"/>
  <c r="D21" i="7"/>
  <c r="E21" i="7" s="1"/>
  <c r="F21" i="7" s="1"/>
</calcChain>
</file>

<file path=xl/sharedStrings.xml><?xml version="1.0" encoding="utf-8"?>
<sst xmlns="http://schemas.openxmlformats.org/spreadsheetml/2006/main" count="51" uniqueCount="37">
  <si>
    <t>Photosynthesis_uM_m-2_s-1</t>
  </si>
  <si>
    <t>Std_Err_Photosynthesis</t>
  </si>
  <si>
    <t>Stomatal_conductance_M_m-2_s-1</t>
  </si>
  <si>
    <t>Std_Err_Stomatal_Conductance</t>
  </si>
  <si>
    <t>Transpiration_mM_m-2_s-1</t>
  </si>
  <si>
    <t>Std_Err_Transpiration</t>
  </si>
  <si>
    <t>Salinity (dS·m⁻¹)</t>
  </si>
  <si>
    <t>Apache</t>
  </si>
  <si>
    <t>Riverside</t>
  </si>
  <si>
    <t>SVA1</t>
  </si>
  <si>
    <t>SVA2</t>
  </si>
  <si>
    <t>Salinity(mMol) (Approximate)</t>
  </si>
  <si>
    <t>Stomatal Conductance (mol H2O/m2/s</t>
  </si>
  <si>
    <t>Photosynthesis (umol CO2/m2/s)</t>
  </si>
  <si>
    <t>Percent_Baseline</t>
  </si>
  <si>
    <t>Percent_Reduction</t>
  </si>
  <si>
    <t>Percent_Reduction_Avg</t>
  </si>
  <si>
    <t>Soil_Salt_Concentration_mol_m3</t>
  </si>
  <si>
    <t xml:space="preserve">Biological and Practical Importanceof Light Microenvironments in aTree: Participatory Research to Match Teaching and Learning Styles </t>
  </si>
  <si>
    <t>G. A. Picchioni, S. A. Weinbaum,D. L. Daniel, and H. Karaca</t>
  </si>
  <si>
    <t>Inner Canopy</t>
  </si>
  <si>
    <t>Specific Leaf Weight (mg/cm2)</t>
  </si>
  <si>
    <t>Outer Canopy</t>
  </si>
  <si>
    <t>Average</t>
  </si>
  <si>
    <t>Leaf Area in Model - From Average Lab measurement(cm2)</t>
  </si>
  <si>
    <t>Leaf Weight (kg)</t>
  </si>
  <si>
    <t xml:space="preserve">Storage Volume Leaf (model) per Leaf Area (m) </t>
  </si>
  <si>
    <t xml:space="preserve">Storage Volume Leaf (model)  (m3) </t>
  </si>
  <si>
    <t>NaCl in Leaf (mg/kg)</t>
  </si>
  <si>
    <t>NaCl in Leaf (Model Target) (mg)</t>
  </si>
  <si>
    <t>NaCl in Leaf (Model Target) (mol)</t>
  </si>
  <si>
    <t>Max</t>
  </si>
  <si>
    <t>Min</t>
  </si>
  <si>
    <t>Leaf Concentration NaCl after 48 days (mM)</t>
  </si>
  <si>
    <t>Leaf Dry Weight per Area taken From:</t>
  </si>
  <si>
    <t>Leaf Mass Concentrations from Campos-Villareal et. al, 2017</t>
  </si>
  <si>
    <t>Soil NaCl Concentration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</si>
</sst>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/>
    <xf numFmtId="0" fontId="0" fillId="3" borderId="0" xfId="0" applyFill="1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4" borderId="0" xfId="0" applyFill="1"/>
    <xf numFmtId="0" fontId="1" fillId="0" borderId="0" xfId="0" applyFont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plus>
            <c:min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Data'!$B$2:$B$6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5.0999999999999996</c:v>
                </c:pt>
                <c:pt idx="3">
                  <c:v>4.8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39-4AA1-8FE1-F62C1FB0C248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Data'!$C$11:$C$14</c:f>
              <c:numCache>
                <c:formatCode>General</c:formatCode>
                <c:ptCount val="4"/>
                <c:pt idx="0">
                  <c:v>5.2</c:v>
                </c:pt>
                <c:pt idx="1">
                  <c:v>3.7</c:v>
                </c:pt>
                <c:pt idx="2">
                  <c:v>2.6</c:v>
                </c:pt>
                <c:pt idx="3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98-46D4-A30B-1BCDDD6F9ADC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Data'!$D$11:$D$14</c:f>
              <c:numCache>
                <c:formatCode>General</c:formatCode>
                <c:ptCount val="4"/>
                <c:pt idx="0">
                  <c:v>5.3</c:v>
                </c:pt>
                <c:pt idx="1">
                  <c:v>4.3</c:v>
                </c:pt>
                <c:pt idx="2">
                  <c:v>3.7</c:v>
                </c:pt>
                <c:pt idx="3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98-46D4-A30B-1BCDDD6F9ADC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Data'!$E$11:$E$14</c:f>
              <c:numCache>
                <c:formatCode>General</c:formatCode>
                <c:ptCount val="4"/>
                <c:pt idx="0">
                  <c:v>5.2</c:v>
                </c:pt>
                <c:pt idx="1">
                  <c:v>4.7</c:v>
                </c:pt>
                <c:pt idx="2">
                  <c:v>3.9</c:v>
                </c:pt>
                <c:pt idx="3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98-46D4-A30B-1BCDDD6F9ADC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Data'!$F$11:$F$14</c:f>
              <c:numCache>
                <c:formatCode>General</c:formatCode>
                <c:ptCount val="4"/>
                <c:pt idx="0">
                  <c:v>4.3</c:v>
                </c:pt>
                <c:pt idx="1">
                  <c:v>4</c:v>
                </c:pt>
                <c:pt idx="2">
                  <c:v>2.7</c:v>
                </c:pt>
                <c:pt idx="3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98-46D4-A30B-1BCDDD6F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0914005941564997"/>
          <c:y val="0.46674484415803635"/>
          <c:w val="0.17669752819359119"/>
          <c:h val="0.4071517510500342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plus>
            <c:min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Data'!$E$2:$E$6</c:f>
              <c:numCache>
                <c:formatCode>0.000</c:formatCode>
                <c:ptCount val="5"/>
                <c:pt idx="0">
                  <c:v>0</c:v>
                </c:pt>
                <c:pt idx="1">
                  <c:v>0.14285714285714279</c:v>
                </c:pt>
                <c:pt idx="2">
                  <c:v>0.27142857142857146</c:v>
                </c:pt>
                <c:pt idx="3">
                  <c:v>0.31428571428571428</c:v>
                </c:pt>
                <c:pt idx="4">
                  <c:v>0.4285714285714286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F2-4EB8-811D-49B40C5758E9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Data'!$K$11:$K$14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0.28846153846153844</c:v>
                </c:pt>
                <c:pt idx="2">
                  <c:v>0.5</c:v>
                </c:pt>
                <c:pt idx="3">
                  <c:v>0.65384615384615385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F2-4EB8-811D-49B40C5758E9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Data'!$L$11:$L$14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0.18867924528301883</c:v>
                </c:pt>
                <c:pt idx="2">
                  <c:v>0.30188679245283012</c:v>
                </c:pt>
                <c:pt idx="3">
                  <c:v>0.30188679245283012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F2-4EB8-811D-49B40C5758E9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Data'!$M$11:$M$14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9.6153846153846145E-2</c:v>
                </c:pt>
                <c:pt idx="2">
                  <c:v>0.25</c:v>
                </c:pt>
                <c:pt idx="3">
                  <c:v>0.44230769230769229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F2-4EB8-811D-49B40C5758E9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Data'!$N$11:$N$14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6.9767441860465018E-2</c:v>
                </c:pt>
                <c:pt idx="2">
                  <c:v>0.37209302325581395</c:v>
                </c:pt>
                <c:pt idx="3">
                  <c:v>0.39534883720930236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9F2-4EB8-811D-49B40C5758E9}"/>
            </c:ext>
          </c:extLst>
        </c:ser>
        <c:ser>
          <c:idx val="5"/>
          <c:order val="5"/>
          <c:tx>
            <c:v>Average From Campos-Villareal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Data'!$O$3:$O$6</c:f>
              <c:numCache>
                <c:formatCode>0.000</c:formatCode>
                <c:ptCount val="4"/>
                <c:pt idx="0">
                  <c:v>0</c:v>
                </c:pt>
                <c:pt idx="1">
                  <c:v>0.23659766859836692</c:v>
                </c:pt>
                <c:pt idx="2">
                  <c:v>0.46897776445941036</c:v>
                </c:pt>
                <c:pt idx="3">
                  <c:v>0.63109278849238792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9F2-4EB8-811D-49B40C57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0180062125261866"/>
          <c:y val="2.2860859290444964E-2"/>
          <c:w val="0.32090413927616845"/>
          <c:h val="0.419927912541827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75-4095-9B93-C27C23727ED3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Data'!$C$3:$C$6</c:f>
              <c:numCache>
                <c:formatCode>General</c:formatCode>
                <c:ptCount val="4"/>
                <c:pt idx="0">
                  <c:v>2.12E-2</c:v>
                </c:pt>
                <c:pt idx="1">
                  <c:v>2.8500000000000001E-2</c:v>
                </c:pt>
                <c:pt idx="2">
                  <c:v>1.8100000000000002E-2</c:v>
                </c:pt>
                <c:pt idx="3">
                  <c:v>9.9000000000000008E-3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75-4095-9B93-C27C23727ED3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Data'!$D$3:$D$6</c:f>
              <c:numCache>
                <c:formatCode>General</c:formatCode>
                <c:ptCount val="4"/>
                <c:pt idx="0">
                  <c:v>3.3300000000000003E-2</c:v>
                </c:pt>
                <c:pt idx="1">
                  <c:v>1.49E-2</c:v>
                </c:pt>
                <c:pt idx="2">
                  <c:v>8.3000000000000001E-3</c:v>
                </c:pt>
                <c:pt idx="3">
                  <c:v>7.1999999999999998E-3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75-4095-9B93-C27C23727ED3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Data'!$E$3:$E$6</c:f>
              <c:numCache>
                <c:formatCode>General</c:formatCode>
                <c:ptCount val="4"/>
                <c:pt idx="0">
                  <c:v>1.7899999999999999E-2</c:v>
                </c:pt>
                <c:pt idx="1">
                  <c:v>1.41E-2</c:v>
                </c:pt>
                <c:pt idx="2">
                  <c:v>9.7000000000000003E-3</c:v>
                </c:pt>
                <c:pt idx="3">
                  <c:v>6.3E-3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75-4095-9B93-C27C23727ED3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Data'!$F$3:$F$6</c:f>
              <c:numCache>
                <c:formatCode>General</c:formatCode>
                <c:ptCount val="4"/>
                <c:pt idx="0">
                  <c:v>3.3599999999999998E-2</c:v>
                </c:pt>
                <c:pt idx="1">
                  <c:v>2.75E-2</c:v>
                </c:pt>
                <c:pt idx="2">
                  <c:v>1.61E-2</c:v>
                </c:pt>
                <c:pt idx="3">
                  <c:v>1.4800000000000001E-2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75-4095-9B93-C27C23727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76025381442704287"/>
          <c:y val="7.7382609645421055E-2"/>
          <c:w val="0.18360849124628656"/>
          <c:h val="0.331958773123094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AB655-0C0B-413A-A9B0-46A99E816DBB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FB0062-9897-4F66-9A19-B87040357B96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A2ABC2-1C74-41CC-81A7-FE7ED90D92C9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66CAE-5D06-8BBE-E35A-38D8A13131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F6B27-6D36-C9BA-ABFE-1BF628FB31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E06AD-FA17-BBE0-41FB-5B41F3822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209884</xdr:colOff>
      <xdr:row>38</xdr:row>
      <xdr:rowOff>55831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18C056-0B0E-9B35-6363-DEACD8C85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40125" y="0"/>
          <a:ext cx="3856054" cy="676714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14</xdr:col>
      <xdr:colOff>495660</xdr:colOff>
      <xdr:row>81</xdr:row>
      <xdr:rowOff>97792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467A3-D577-F623-A6AC-461443C29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40125" y="6877050"/>
          <a:ext cx="4153260" cy="7346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3E70-C9D7-4FE3-9E6B-A83E623DF4AC}">
  <dimension ref="A1:K6"/>
  <sheetViews>
    <sheetView workbookViewId="0">
      <selection activeCell="E18" sqref="E18"/>
    </sheetView>
  </sheetViews>
  <sheetFormatPr defaultRowHeight="14.4" x14ac:dyDescent="0.3"/>
  <cols>
    <col min="1" max="1" width="44.5546875" customWidth="1"/>
    <col min="2" max="2" width="26.44140625" bestFit="1" customWidth="1"/>
    <col min="3" max="3" width="21.6640625" bestFit="1" customWidth="1"/>
    <col min="4" max="5" width="21.6640625" customWidth="1"/>
    <col min="6" max="6" width="32.109375" bestFit="1" customWidth="1"/>
    <col min="7" max="7" width="28.6640625" bestFit="1" customWidth="1"/>
    <col min="8" max="9" width="32.109375" customWidth="1"/>
    <col min="10" max="10" width="32.109375" bestFit="1" customWidth="1"/>
    <col min="11" max="11" width="20.109375" bestFit="1" customWidth="1"/>
  </cols>
  <sheetData>
    <row r="1" spans="1:11" x14ac:dyDescent="0.3">
      <c r="A1" t="s">
        <v>17</v>
      </c>
      <c r="B1" s="8" t="s">
        <v>0</v>
      </c>
      <c r="C1" s="8" t="s">
        <v>1</v>
      </c>
      <c r="D1" s="8" t="s">
        <v>14</v>
      </c>
      <c r="E1" s="8" t="s">
        <v>15</v>
      </c>
      <c r="F1" t="s">
        <v>2</v>
      </c>
      <c r="G1" t="s">
        <v>3</v>
      </c>
      <c r="H1" t="s">
        <v>14</v>
      </c>
      <c r="I1" t="s">
        <v>15</v>
      </c>
      <c r="J1" t="s">
        <v>4</v>
      </c>
      <c r="K1" t="s">
        <v>5</v>
      </c>
    </row>
    <row r="2" spans="1:11" x14ac:dyDescent="0.3">
      <c r="A2">
        <v>0</v>
      </c>
      <c r="B2">
        <v>7</v>
      </c>
      <c r="C2">
        <v>0.56999999999999995</v>
      </c>
      <c r="D2" s="6">
        <v>1</v>
      </c>
      <c r="E2" s="6">
        <f>1-D2</f>
        <v>0</v>
      </c>
      <c r="F2">
        <v>0.08</v>
      </c>
      <c r="G2">
        <v>7.0000000000000001E-3</v>
      </c>
      <c r="H2" s="6">
        <v>1</v>
      </c>
      <c r="I2" s="6">
        <f>1-H2</f>
        <v>0</v>
      </c>
      <c r="J2">
        <v>2.1800000000000002</v>
      </c>
      <c r="K2">
        <v>0.24</v>
      </c>
    </row>
    <row r="3" spans="1:11" x14ac:dyDescent="0.3">
      <c r="A3">
        <v>20</v>
      </c>
      <c r="B3">
        <v>6</v>
      </c>
      <c r="C3">
        <v>0.18</v>
      </c>
      <c r="D3" s="6">
        <f>1-($B$2-B3)/$B$2</f>
        <v>0.85714285714285721</v>
      </c>
      <c r="E3" s="6">
        <f t="shared" ref="E3:E6" si="0">1-D3</f>
        <v>0.14285714285714279</v>
      </c>
      <c r="F3">
        <v>0.08</v>
      </c>
      <c r="G3">
        <v>8.9999999999999993E-3</v>
      </c>
      <c r="H3" s="6">
        <f>1-($F$2-F3)/$F$2</f>
        <v>1</v>
      </c>
      <c r="I3" s="6">
        <f t="shared" ref="I3:I6" si="1">1-H3</f>
        <v>0</v>
      </c>
      <c r="J3">
        <v>1.68</v>
      </c>
      <c r="K3">
        <v>0.23</v>
      </c>
    </row>
    <row r="4" spans="1:11" x14ac:dyDescent="0.3">
      <c r="A4">
        <v>25</v>
      </c>
      <c r="B4">
        <v>5.0999999999999996</v>
      </c>
      <c r="C4">
        <v>0.08</v>
      </c>
      <c r="D4" s="6">
        <f>1-($B$2-B4)/$B$2</f>
        <v>0.72857142857142854</v>
      </c>
      <c r="E4" s="6">
        <f t="shared" si="0"/>
        <v>0.27142857142857146</v>
      </c>
      <c r="F4">
        <v>7.0000000000000007E-2</v>
      </c>
      <c r="G4">
        <v>0.01</v>
      </c>
      <c r="H4" s="6">
        <f t="shared" ref="H4:H6" si="2">1-($F$2-F4)/$F$2</f>
        <v>0.87500000000000011</v>
      </c>
      <c r="I4" s="6">
        <f t="shared" si="1"/>
        <v>0.12499999999999989</v>
      </c>
      <c r="J4">
        <v>1.69</v>
      </c>
      <c r="K4">
        <v>0.25</v>
      </c>
    </row>
    <row r="5" spans="1:11" x14ac:dyDescent="0.3">
      <c r="A5">
        <v>30</v>
      </c>
      <c r="B5">
        <v>4.8</v>
      </c>
      <c r="C5">
        <v>0.3</v>
      </c>
      <c r="D5" s="6">
        <f>1-($B$2-B5)/$B$2</f>
        <v>0.68571428571428572</v>
      </c>
      <c r="E5" s="6">
        <f t="shared" si="0"/>
        <v>0.31428571428571428</v>
      </c>
      <c r="F5">
        <v>0.05</v>
      </c>
      <c r="G5">
        <v>3.0000000000000001E-3</v>
      </c>
      <c r="H5" s="6">
        <f t="shared" si="2"/>
        <v>0.625</v>
      </c>
      <c r="I5" s="6">
        <f t="shared" si="1"/>
        <v>0.375</v>
      </c>
      <c r="J5">
        <v>1.22</v>
      </c>
      <c r="K5">
        <v>0.08</v>
      </c>
    </row>
    <row r="6" spans="1:11" x14ac:dyDescent="0.3">
      <c r="A6">
        <v>35</v>
      </c>
      <c r="B6">
        <v>4</v>
      </c>
      <c r="C6">
        <v>0.63</v>
      </c>
      <c r="D6" s="6">
        <f>1-($B$2-B6)/$B$2</f>
        <v>0.5714285714285714</v>
      </c>
      <c r="E6" s="6">
        <f t="shared" si="0"/>
        <v>0.4285714285714286</v>
      </c>
      <c r="F6">
        <v>0.05</v>
      </c>
      <c r="G6">
        <v>3.0000000000000001E-3</v>
      </c>
      <c r="H6" s="6">
        <f t="shared" si="2"/>
        <v>0.625</v>
      </c>
      <c r="I6" s="6">
        <f t="shared" si="1"/>
        <v>0.375</v>
      </c>
      <c r="J6">
        <v>1.2</v>
      </c>
      <c r="K6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1305-A9F1-4CBD-97D5-E3BBC3914A4F}">
  <dimension ref="A1"/>
  <sheetViews>
    <sheetView workbookViewId="0">
      <selection activeCell="E11" sqref="E1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F77E-8971-4EF4-9E6E-8FC73109F299}">
  <dimension ref="A1:O14"/>
  <sheetViews>
    <sheetView workbookViewId="0">
      <selection activeCell="C22" sqref="C22"/>
    </sheetView>
  </sheetViews>
  <sheetFormatPr defaultRowHeight="14.4" x14ac:dyDescent="0.3"/>
  <cols>
    <col min="1" max="1" width="13.44140625" customWidth="1"/>
    <col min="2" max="2" width="42.5546875" customWidth="1"/>
    <col min="3" max="3" width="13.33203125" customWidth="1"/>
    <col min="4" max="4" width="11.109375" customWidth="1"/>
    <col min="5" max="5" width="12.5546875" customWidth="1"/>
    <col min="6" max="6" width="13.5546875" customWidth="1"/>
    <col min="7" max="7" width="23.88671875" bestFit="1" customWidth="1"/>
    <col min="8" max="8" width="25.33203125" bestFit="1" customWidth="1"/>
    <col min="9" max="10" width="21.5546875" bestFit="1" customWidth="1"/>
    <col min="14" max="14" width="15" customWidth="1"/>
    <col min="15" max="15" width="22.5546875" bestFit="1" customWidth="1"/>
  </cols>
  <sheetData>
    <row r="1" spans="1:15" ht="15" thickBot="1" x14ac:dyDescent="0.35">
      <c r="A1" s="4" t="s">
        <v>12</v>
      </c>
      <c r="B1" s="5"/>
      <c r="C1" s="5"/>
      <c r="D1" s="5"/>
      <c r="E1" s="5"/>
      <c r="F1" s="5"/>
    </row>
    <row r="2" spans="1:15" ht="34.200000000000003" thickBot="1" x14ac:dyDescent="0.35">
      <c r="A2" s="1" t="s">
        <v>6</v>
      </c>
      <c r="B2" s="1" t="s">
        <v>11</v>
      </c>
      <c r="C2" s="1" t="s">
        <v>7</v>
      </c>
      <c r="D2" s="1" t="s">
        <v>8</v>
      </c>
      <c r="E2" s="1" t="s">
        <v>9</v>
      </c>
      <c r="F2" s="1" t="s">
        <v>10</v>
      </c>
      <c r="G2" s="7" t="str">
        <f>CONCATENATE("Percent_Baseline_",C2)</f>
        <v>Percent_Baseline_Apache</v>
      </c>
      <c r="H2" s="7" t="str">
        <f>CONCATENATE("Percent_Baseline_",D2)</f>
        <v>Percent_Baseline_Riverside</v>
      </c>
      <c r="I2" s="7" t="str">
        <f>CONCATENATE("Percent_Baseline_",E2)</f>
        <v>Percent_Baseline_SVA1</v>
      </c>
      <c r="J2" s="7" t="str">
        <f>CONCATENATE("Percent_Baseline_",F2)</f>
        <v>Percent_Baseline_SVA2</v>
      </c>
      <c r="K2" s="7" t="str">
        <f>CONCATENATE("Percent_Reduction_",G2)</f>
        <v>Percent_Reduction_Percent_Baseline_Apache</v>
      </c>
      <c r="L2" s="7" t="str">
        <f>CONCATENATE("Percent_Reduction_",H2)</f>
        <v>Percent_Reduction_Percent_Baseline_Riverside</v>
      </c>
      <c r="M2" s="7" t="str">
        <f>CONCATENATE("Percent_Reduction_",I2)</f>
        <v>Percent_Reduction_Percent_Baseline_SVA1</v>
      </c>
      <c r="N2" s="7" t="str">
        <f>CONCATENATE("Percent_Reduction_",J2)</f>
        <v>Percent_Reduction_Percent_Baseline_SVA2</v>
      </c>
      <c r="O2" s="9" t="s">
        <v>16</v>
      </c>
    </row>
    <row r="3" spans="1:15" ht="17.399999999999999" thickBot="1" x14ac:dyDescent="0.35">
      <c r="A3" s="2">
        <v>0.08</v>
      </c>
      <c r="B3" s="2">
        <f>A3*10</f>
        <v>0.8</v>
      </c>
      <c r="C3" s="2">
        <v>2.12E-2</v>
      </c>
      <c r="D3" s="2">
        <v>3.3300000000000003E-2</v>
      </c>
      <c r="E3" s="2">
        <v>1.7899999999999999E-2</v>
      </c>
      <c r="F3" s="2">
        <v>3.3599999999999998E-2</v>
      </c>
      <c r="G3">
        <f>1</f>
        <v>1</v>
      </c>
      <c r="H3">
        <f>1</f>
        <v>1</v>
      </c>
      <c r="I3">
        <f>1</f>
        <v>1</v>
      </c>
      <c r="J3">
        <f>1</f>
        <v>1</v>
      </c>
      <c r="K3">
        <f>1-G3</f>
        <v>0</v>
      </c>
      <c r="L3">
        <f t="shared" ref="L3:N6" si="0">1-H3</f>
        <v>0</v>
      </c>
      <c r="M3">
        <f t="shared" si="0"/>
        <v>0</v>
      </c>
      <c r="N3">
        <f t="shared" si="0"/>
        <v>0</v>
      </c>
      <c r="O3" s="6">
        <f>AVERAGE(K3:N3)</f>
        <v>0</v>
      </c>
    </row>
    <row r="4" spans="1:15" ht="17.399999999999999" thickBot="1" x14ac:dyDescent="0.35">
      <c r="A4" s="2">
        <v>2.5</v>
      </c>
      <c r="B4" s="2">
        <f t="shared" ref="B4:B6" si="1">A4*10</f>
        <v>25</v>
      </c>
      <c r="C4" s="2">
        <v>2.8500000000000001E-2</v>
      </c>
      <c r="D4" s="2">
        <v>1.49E-2</v>
      </c>
      <c r="E4" s="2">
        <v>1.41E-2</v>
      </c>
      <c r="F4" s="2">
        <v>2.75E-2</v>
      </c>
      <c r="G4" s="6">
        <f>MIN(1,1-(C$3-C4)/C$3)</f>
        <v>1</v>
      </c>
      <c r="H4" s="6">
        <f t="shared" ref="H4:J6" si="2">MIN(1,1-(D$3-D4)/D$3)</f>
        <v>0.44744744744744736</v>
      </c>
      <c r="I4" s="6">
        <f t="shared" si="2"/>
        <v>0.78770949720670391</v>
      </c>
      <c r="J4" s="6">
        <f t="shared" si="2"/>
        <v>0.81845238095238104</v>
      </c>
      <c r="K4" s="6">
        <f>1-G4</f>
        <v>0</v>
      </c>
      <c r="L4" s="6">
        <f t="shared" si="0"/>
        <v>0.55255255255255264</v>
      </c>
      <c r="M4" s="6">
        <f t="shared" si="0"/>
        <v>0.21229050279329609</v>
      </c>
      <c r="N4" s="6">
        <f t="shared" si="0"/>
        <v>0.18154761904761896</v>
      </c>
      <c r="O4" s="6">
        <f t="shared" ref="O4:O5" si="3">AVERAGE(K4:N4)</f>
        <v>0.23659766859836692</v>
      </c>
    </row>
    <row r="5" spans="1:15" ht="17.399999999999999" thickBot="1" x14ac:dyDescent="0.35">
      <c r="A5" s="2">
        <v>3</v>
      </c>
      <c r="B5" s="2">
        <f t="shared" si="1"/>
        <v>30</v>
      </c>
      <c r="C5" s="2">
        <v>1.8100000000000002E-2</v>
      </c>
      <c r="D5" s="2">
        <v>8.3000000000000001E-3</v>
      </c>
      <c r="E5" s="2">
        <v>9.7000000000000003E-3</v>
      </c>
      <c r="F5" s="2">
        <v>1.61E-2</v>
      </c>
      <c r="G5" s="6">
        <f t="shared" ref="G5:G6" si="4">MIN(1,1-(C$3-C5)/C$3)</f>
        <v>0.85377358490566047</v>
      </c>
      <c r="H5" s="6">
        <f t="shared" si="2"/>
        <v>0.24924924924924929</v>
      </c>
      <c r="I5" s="6">
        <f t="shared" si="2"/>
        <v>0.54189944134078216</v>
      </c>
      <c r="J5" s="6">
        <f t="shared" si="2"/>
        <v>0.47916666666666674</v>
      </c>
      <c r="K5" s="6">
        <f>1-G5</f>
        <v>0.14622641509433953</v>
      </c>
      <c r="L5" s="6">
        <f t="shared" si="0"/>
        <v>0.75075075075075071</v>
      </c>
      <c r="M5" s="6">
        <f t="shared" si="0"/>
        <v>0.45810055865921784</v>
      </c>
      <c r="N5" s="6">
        <f t="shared" si="0"/>
        <v>0.52083333333333326</v>
      </c>
      <c r="O5" s="6">
        <f t="shared" si="3"/>
        <v>0.46897776445941036</v>
      </c>
    </row>
    <row r="6" spans="1:15" ht="17.399999999999999" thickBot="1" x14ac:dyDescent="0.35">
      <c r="A6" s="2">
        <v>3.5</v>
      </c>
      <c r="B6" s="2">
        <f t="shared" si="1"/>
        <v>35</v>
      </c>
      <c r="C6" s="2">
        <v>9.9000000000000008E-3</v>
      </c>
      <c r="D6" s="2">
        <v>7.1999999999999998E-3</v>
      </c>
      <c r="E6" s="2">
        <v>6.3E-3</v>
      </c>
      <c r="F6" s="3">
        <v>1.4800000000000001E-2</v>
      </c>
      <c r="G6" s="6">
        <f t="shared" si="4"/>
        <v>0.46698113207547176</v>
      </c>
      <c r="H6" s="6">
        <f t="shared" si="2"/>
        <v>0.21621621621621612</v>
      </c>
      <c r="I6" s="6">
        <f t="shared" si="2"/>
        <v>0.35195530726256985</v>
      </c>
      <c r="J6" s="6">
        <f t="shared" si="2"/>
        <v>0.44047619047619058</v>
      </c>
      <c r="K6" s="6">
        <f>1-G6</f>
        <v>0.53301886792452824</v>
      </c>
      <c r="L6" s="6">
        <f t="shared" si="0"/>
        <v>0.78378378378378388</v>
      </c>
      <c r="M6" s="6">
        <f t="shared" si="0"/>
        <v>0.64804469273743015</v>
      </c>
      <c r="N6" s="6">
        <f t="shared" si="0"/>
        <v>0.55952380952380942</v>
      </c>
      <c r="O6" s="6">
        <f>AVERAGE(K6:N6)</f>
        <v>0.63109278849238792</v>
      </c>
    </row>
    <row r="9" spans="1:15" ht="15" thickBot="1" x14ac:dyDescent="0.35">
      <c r="A9" s="4" t="s">
        <v>13</v>
      </c>
      <c r="B9" s="5"/>
      <c r="C9" s="5"/>
      <c r="D9" s="5"/>
      <c r="E9" s="5"/>
      <c r="F9" s="5"/>
    </row>
    <row r="10" spans="1:15" ht="34.200000000000003" thickBot="1" x14ac:dyDescent="0.35">
      <c r="A10" s="1" t="s">
        <v>6</v>
      </c>
      <c r="B10" s="1" t="s">
        <v>11</v>
      </c>
      <c r="C10" s="1" t="s">
        <v>7</v>
      </c>
      <c r="D10" s="1" t="s">
        <v>8</v>
      </c>
      <c r="E10" s="1" t="s">
        <v>9</v>
      </c>
      <c r="F10" s="1" t="s">
        <v>10</v>
      </c>
      <c r="G10" s="7" t="str">
        <f>CONCATENATE("Percent_Baseline_",C10)</f>
        <v>Percent_Baseline_Apache</v>
      </c>
      <c r="H10" s="7" t="str">
        <f>CONCATENATE("Percent_Baseline_",D10)</f>
        <v>Percent_Baseline_Riverside</v>
      </c>
      <c r="I10" s="7" t="str">
        <f>CONCATENATE("Percent_Baseline_",E10)</f>
        <v>Percent_Baseline_SVA1</v>
      </c>
      <c r="J10" s="7" t="str">
        <f>CONCATENATE("Percent_Baseline_",F10)</f>
        <v>Percent_Baseline_SVA2</v>
      </c>
      <c r="K10" s="7" t="str">
        <f>CONCATENATE("Percent_Reduction_",G10)</f>
        <v>Percent_Reduction_Percent_Baseline_Apache</v>
      </c>
      <c r="L10" s="7" t="str">
        <f>CONCATENATE("Percent_Reduction_",H10)</f>
        <v>Percent_Reduction_Percent_Baseline_Riverside</v>
      </c>
      <c r="M10" s="7" t="str">
        <f>CONCATENATE("Percent_Reduction_",I10)</f>
        <v>Percent_Reduction_Percent_Baseline_SVA1</v>
      </c>
      <c r="N10" s="7" t="str">
        <f>CONCATENATE("Percent_Reduction_",J10)</f>
        <v>Percent_Reduction_Percent_Baseline_SVA2</v>
      </c>
    </row>
    <row r="11" spans="1:15" ht="17.399999999999999" thickBot="1" x14ac:dyDescent="0.35">
      <c r="A11" s="2">
        <v>0.08</v>
      </c>
      <c r="B11">
        <f>A11*10</f>
        <v>0.8</v>
      </c>
      <c r="C11" s="2">
        <v>5.2</v>
      </c>
      <c r="D11" s="2">
        <v>5.3</v>
      </c>
      <c r="E11" s="2">
        <v>5.2</v>
      </c>
      <c r="F11" s="2">
        <v>4.3</v>
      </c>
      <c r="G11">
        <f>1</f>
        <v>1</v>
      </c>
      <c r="H11">
        <f>1</f>
        <v>1</v>
      </c>
      <c r="I11">
        <f>1</f>
        <v>1</v>
      </c>
      <c r="J11">
        <f>1</f>
        <v>1</v>
      </c>
      <c r="K11">
        <f>1-G11</f>
        <v>0</v>
      </c>
      <c r="L11">
        <f t="shared" ref="L11:N14" si="5">1-H11</f>
        <v>0</v>
      </c>
      <c r="M11">
        <f t="shared" si="5"/>
        <v>0</v>
      </c>
      <c r="N11">
        <f t="shared" si="5"/>
        <v>0</v>
      </c>
    </row>
    <row r="12" spans="1:15" ht="17.399999999999999" thickBot="1" x14ac:dyDescent="0.35">
      <c r="A12" s="2">
        <v>2.5</v>
      </c>
      <c r="B12">
        <f t="shared" ref="B12:B14" si="6">A12*10</f>
        <v>25</v>
      </c>
      <c r="C12" s="2">
        <v>3.7</v>
      </c>
      <c r="D12" s="2">
        <v>4.3</v>
      </c>
      <c r="E12" s="2">
        <v>4.7</v>
      </c>
      <c r="F12" s="2">
        <v>4</v>
      </c>
      <c r="G12" s="6">
        <f>MIN(1,1-(C$11-C12)/C$11)</f>
        <v>0.71153846153846156</v>
      </c>
      <c r="H12" s="6">
        <f t="shared" ref="H12:J14" si="7">MIN(1,1-(D$11-D12)/D$11)</f>
        <v>0.81132075471698117</v>
      </c>
      <c r="I12" s="6">
        <f t="shared" si="7"/>
        <v>0.90384615384615385</v>
      </c>
      <c r="J12" s="6">
        <f t="shared" si="7"/>
        <v>0.93023255813953498</v>
      </c>
      <c r="K12" s="6">
        <f>1-G12</f>
        <v>0.28846153846153844</v>
      </c>
      <c r="L12" s="6">
        <f t="shared" si="5"/>
        <v>0.18867924528301883</v>
      </c>
      <c r="M12" s="6">
        <f t="shared" si="5"/>
        <v>9.6153846153846145E-2</v>
      </c>
      <c r="N12" s="6">
        <f t="shared" si="5"/>
        <v>6.9767441860465018E-2</v>
      </c>
    </row>
    <row r="13" spans="1:15" ht="17.399999999999999" thickBot="1" x14ac:dyDescent="0.35">
      <c r="A13" s="2">
        <v>3</v>
      </c>
      <c r="B13">
        <f t="shared" si="6"/>
        <v>30</v>
      </c>
      <c r="C13" s="2">
        <v>2.6</v>
      </c>
      <c r="D13" s="2">
        <v>3.7</v>
      </c>
      <c r="E13" s="2">
        <v>3.9</v>
      </c>
      <c r="F13" s="2">
        <v>2.7</v>
      </c>
      <c r="G13" s="6">
        <f t="shared" ref="G13:G14" si="8">MIN(1,1-(C$11-C13)/C$11)</f>
        <v>0.5</v>
      </c>
      <c r="H13" s="6">
        <f t="shared" si="7"/>
        <v>0.69811320754716988</v>
      </c>
      <c r="I13" s="6">
        <f t="shared" si="7"/>
        <v>0.75</v>
      </c>
      <c r="J13" s="6">
        <f t="shared" si="7"/>
        <v>0.62790697674418605</v>
      </c>
      <c r="K13" s="6">
        <f>1-G13</f>
        <v>0.5</v>
      </c>
      <c r="L13" s="6">
        <f t="shared" si="5"/>
        <v>0.30188679245283012</v>
      </c>
      <c r="M13" s="6">
        <f t="shared" si="5"/>
        <v>0.25</v>
      </c>
      <c r="N13" s="6">
        <f t="shared" si="5"/>
        <v>0.37209302325581395</v>
      </c>
    </row>
    <row r="14" spans="1:15" ht="17.399999999999999" thickBot="1" x14ac:dyDescent="0.35">
      <c r="A14" s="2">
        <v>3.5</v>
      </c>
      <c r="B14">
        <f t="shared" si="6"/>
        <v>35</v>
      </c>
      <c r="C14" s="2">
        <v>1.8</v>
      </c>
      <c r="D14" s="2">
        <v>3.7</v>
      </c>
      <c r="E14" s="2">
        <v>2.9</v>
      </c>
      <c r="F14" s="2">
        <v>2.6</v>
      </c>
      <c r="G14" s="6">
        <f t="shared" si="8"/>
        <v>0.34615384615384615</v>
      </c>
      <c r="H14" s="6">
        <f t="shared" si="7"/>
        <v>0.69811320754716988</v>
      </c>
      <c r="I14" s="6">
        <f t="shared" si="7"/>
        <v>0.55769230769230771</v>
      </c>
      <c r="J14" s="6">
        <f t="shared" si="7"/>
        <v>0.60465116279069764</v>
      </c>
      <c r="K14" s="6">
        <f>1-G14</f>
        <v>0.65384615384615385</v>
      </c>
      <c r="L14" s="6">
        <f t="shared" si="5"/>
        <v>0.30188679245283012</v>
      </c>
      <c r="M14" s="6">
        <f t="shared" si="5"/>
        <v>0.44230769230769229</v>
      </c>
      <c r="N14" s="6">
        <f t="shared" si="5"/>
        <v>0.39534883720930236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E9B4-D73D-4753-8A38-3A7E2D9F62D5}">
  <dimension ref="A2:G22"/>
  <sheetViews>
    <sheetView tabSelected="1" workbookViewId="0">
      <selection activeCell="E5" sqref="E5"/>
    </sheetView>
  </sheetViews>
  <sheetFormatPr defaultRowHeight="14.4" x14ac:dyDescent="0.3"/>
  <cols>
    <col min="2" max="2" width="27.88671875" customWidth="1"/>
    <col min="3" max="3" width="30.109375" customWidth="1"/>
    <col min="4" max="4" width="53.109375" customWidth="1"/>
    <col min="5" max="5" width="29.6640625" bestFit="1" customWidth="1"/>
    <col min="6" max="6" width="48.6640625" customWidth="1"/>
    <col min="7" max="7" width="38.77734375" bestFit="1" customWidth="1"/>
  </cols>
  <sheetData>
    <row r="2" spans="1:7" x14ac:dyDescent="0.3">
      <c r="B2" s="12" t="s">
        <v>34</v>
      </c>
    </row>
    <row r="3" spans="1:7" x14ac:dyDescent="0.3">
      <c r="B3" t="s">
        <v>18</v>
      </c>
    </row>
    <row r="4" spans="1:7" x14ac:dyDescent="0.3">
      <c r="B4" t="s">
        <v>19</v>
      </c>
    </row>
    <row r="5" spans="1:7" x14ac:dyDescent="0.3">
      <c r="B5">
        <v>2000</v>
      </c>
    </row>
    <row r="7" spans="1:7" x14ac:dyDescent="0.3">
      <c r="C7" s="12" t="s">
        <v>21</v>
      </c>
      <c r="D7" s="12" t="s">
        <v>24</v>
      </c>
      <c r="E7" s="12" t="s">
        <v>25</v>
      </c>
      <c r="F7" s="12" t="s">
        <v>26</v>
      </c>
      <c r="G7" s="12" t="s">
        <v>27</v>
      </c>
    </row>
    <row r="8" spans="1:7" x14ac:dyDescent="0.3">
      <c r="B8" t="s">
        <v>20</v>
      </c>
      <c r="C8">
        <v>5.9</v>
      </c>
    </row>
    <row r="9" spans="1:7" x14ac:dyDescent="0.3">
      <c r="B9" t="s">
        <v>22</v>
      </c>
      <c r="C9">
        <v>9.1999999999999993</v>
      </c>
    </row>
    <row r="10" spans="1:7" x14ac:dyDescent="0.3">
      <c r="B10" s="12" t="s">
        <v>23</v>
      </c>
      <c r="C10" s="10">
        <f>AVERAGE(C8:C9)</f>
        <v>7.55</v>
      </c>
      <c r="D10">
        <f>0.008*(100^2)</f>
        <v>80</v>
      </c>
      <c r="E10">
        <f>C10*D10/1000000</f>
        <v>6.0400000000000004E-4</v>
      </c>
      <c r="F10">
        <f>0.0504/1000</f>
        <v>5.0399999999999999E-5</v>
      </c>
      <c r="G10">
        <f>(D10/(100^2))*F10</f>
        <v>4.0320000000000001E-7</v>
      </c>
    </row>
    <row r="12" spans="1:7" x14ac:dyDescent="0.3">
      <c r="B12" s="12" t="s">
        <v>35</v>
      </c>
    </row>
    <row r="14" spans="1:7" x14ac:dyDescent="0.3">
      <c r="B14" s="12" t="s">
        <v>36</v>
      </c>
      <c r="C14" s="12" t="s">
        <v>28</v>
      </c>
      <c r="D14" s="12" t="s">
        <v>29</v>
      </c>
      <c r="E14" s="12" t="s">
        <v>30</v>
      </c>
      <c r="F14" s="12" t="s">
        <v>33</v>
      </c>
    </row>
    <row r="15" spans="1:7" x14ac:dyDescent="0.3">
      <c r="A15" s="12" t="s">
        <v>31</v>
      </c>
      <c r="B15" s="12">
        <f>0.08*10</f>
        <v>0.8</v>
      </c>
      <c r="C15">
        <v>420</v>
      </c>
      <c r="D15">
        <f>C15*$E$10</f>
        <v>0.25368000000000002</v>
      </c>
      <c r="E15">
        <f t="shared" ref="E15:E20" si="0">D15/58400</f>
        <v>4.3438356164383568E-6</v>
      </c>
      <c r="F15" s="11">
        <f>E15/$G$10</f>
        <v>10.773401826484019</v>
      </c>
    </row>
    <row r="16" spans="1:7" x14ac:dyDescent="0.3">
      <c r="A16" s="12" t="s">
        <v>32</v>
      </c>
      <c r="B16" s="12">
        <f>0.08*10</f>
        <v>0.8</v>
      </c>
      <c r="C16">
        <v>180</v>
      </c>
      <c r="D16">
        <f>C16*$E$10</f>
        <v>0.10872000000000001</v>
      </c>
      <c r="E16">
        <f t="shared" si="0"/>
        <v>1.8616438356164386E-6</v>
      </c>
      <c r="F16" s="11">
        <f>E16/$G$10</f>
        <v>4.6171722113502938</v>
      </c>
    </row>
    <row r="17" spans="1:6" x14ac:dyDescent="0.3">
      <c r="A17" s="12" t="s">
        <v>31</v>
      </c>
      <c r="B17" s="12">
        <f>25</f>
        <v>25</v>
      </c>
      <c r="C17">
        <v>950</v>
      </c>
      <c r="D17">
        <f>C17*$E$10</f>
        <v>0.57380000000000009</v>
      </c>
      <c r="E17">
        <f t="shared" si="0"/>
        <v>9.8253424657534265E-6</v>
      </c>
      <c r="F17" s="11">
        <f>E17/$G$10</f>
        <v>24.368408893237664</v>
      </c>
    </row>
    <row r="18" spans="1:6" x14ac:dyDescent="0.3">
      <c r="A18" s="12" t="s">
        <v>32</v>
      </c>
      <c r="B18" s="12">
        <f>25</f>
        <v>25</v>
      </c>
      <c r="C18">
        <v>370</v>
      </c>
      <c r="D18">
        <f>C18*$E$10</f>
        <v>0.22348000000000001</v>
      </c>
      <c r="E18">
        <f t="shared" si="0"/>
        <v>3.8267123287671238E-6</v>
      </c>
      <c r="F18" s="11">
        <f>E18/$G$10</f>
        <v>9.4908539899978273</v>
      </c>
    </row>
    <row r="19" spans="1:6" x14ac:dyDescent="0.3">
      <c r="A19" s="12" t="s">
        <v>31</v>
      </c>
      <c r="B19" s="12">
        <f>30</f>
        <v>30</v>
      </c>
      <c r="C19">
        <v>1060</v>
      </c>
      <c r="D19">
        <f>C19*$E$10</f>
        <v>0.64024000000000003</v>
      </c>
      <c r="E19">
        <f t="shared" si="0"/>
        <v>1.0963013698630138E-5</v>
      </c>
      <c r="F19" s="11">
        <f>E19/$G$10</f>
        <v>27.190014133507287</v>
      </c>
    </row>
    <row r="20" spans="1:6" x14ac:dyDescent="0.3">
      <c r="A20" s="12" t="s">
        <v>32</v>
      </c>
      <c r="B20" s="12">
        <f>30</f>
        <v>30</v>
      </c>
      <c r="C20">
        <v>490</v>
      </c>
      <c r="D20">
        <f>C20*$E$10</f>
        <v>0.29596</v>
      </c>
      <c r="E20">
        <f t="shared" si="0"/>
        <v>5.0678082191780822E-6</v>
      </c>
      <c r="F20" s="11">
        <f>E20/$G$10</f>
        <v>12.568968797564688</v>
      </c>
    </row>
    <row r="21" spans="1:6" x14ac:dyDescent="0.3">
      <c r="A21" s="12" t="s">
        <v>31</v>
      </c>
      <c r="B21" s="12">
        <f>35</f>
        <v>35</v>
      </c>
      <c r="C21">
        <f>1350</f>
        <v>1350</v>
      </c>
      <c r="D21">
        <f>C21*$E$10</f>
        <v>0.81540000000000001</v>
      </c>
      <c r="E21">
        <f>D21/58400</f>
        <v>1.3962328767123288E-5</v>
      </c>
      <c r="F21" s="11">
        <f>E21/$G$10</f>
        <v>34.628791585127203</v>
      </c>
    </row>
    <row r="22" spans="1:6" x14ac:dyDescent="0.3">
      <c r="A22" s="12" t="s">
        <v>32</v>
      </c>
      <c r="B22" s="12">
        <v>35</v>
      </c>
      <c r="C22">
        <v>750</v>
      </c>
      <c r="D22">
        <f>C22*$E$10</f>
        <v>0.45300000000000001</v>
      </c>
      <c r="E22">
        <f>D22/58400</f>
        <v>7.7568493150684931E-6</v>
      </c>
      <c r="F22" s="11">
        <f>E22/$G$10</f>
        <v>19.238217547292891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Sanchez-Ledesma Data</vt:lpstr>
      <vt:lpstr>Cao et al Data</vt:lpstr>
      <vt:lpstr>Campos-Villareal Data</vt:lpstr>
      <vt:lpstr>Dry Weight</vt:lpstr>
      <vt:lpstr>Photosynthetic Rate Reduct Plot</vt:lpstr>
      <vt:lpstr>Photosynthetic Pct Reduct</vt:lpstr>
      <vt:lpstr>Stomatal Conductance Reduc Plot</vt:lpstr>
    </vt:vector>
  </TitlesOfParts>
  <Company>The Geosyntec family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2026-04-06T04:24:07Z</dcterms:created>
  <dcterms:modified xsi:type="dcterms:W3CDTF">2026-05-18T16:18:15Z</dcterms:modified>
</cp:coreProperties>
</file>